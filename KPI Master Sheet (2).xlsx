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99A13A49-788B-447A-952F-A1FEBFFA81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mpile Sheet " sheetId="2" r:id="rId1"/>
    <sheet name="Performance Insights" sheetId="3" r:id="rId2"/>
    <sheet name="Sheet1" sheetId="4" r:id="rId3"/>
  </sheets>
  <externalReferences>
    <externalReference r:id="rId4"/>
  </externalReferences>
  <definedNames>
    <definedName name="_xlnm._FilterDatabase" localSheetId="0" hidden="1">'Compile Sheet '!$C$1:$C$51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39" i="2" l="1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12" i="2"/>
  <c r="AJ13" i="2"/>
  <c r="AJ14" i="2"/>
  <c r="AJ15" i="2"/>
  <c r="AJ16" i="2"/>
  <c r="AJ17" i="2"/>
  <c r="AJ5" i="2"/>
  <c r="AJ6" i="2"/>
  <c r="AJ7" i="2"/>
  <c r="AJ8" i="2"/>
  <c r="AJ9" i="2"/>
  <c r="AR10" i="2"/>
  <c r="AS10" i="2"/>
  <c r="AR18" i="2"/>
  <c r="AS18" i="2"/>
  <c r="AR19" i="2"/>
  <c r="AS19" i="2"/>
  <c r="AR36" i="2"/>
  <c r="AS36" i="2"/>
  <c r="AR37" i="2"/>
  <c r="AS37" i="2"/>
  <c r="C9" i="4" a="1"/>
  <c r="C9" i="4"/>
  <c r="C16" i="4" a="1"/>
  <c r="C16" i="4"/>
  <c r="C24" i="4" a="1"/>
  <c r="C24" i="4"/>
  <c r="C31" i="4" a="1"/>
  <c r="C31" i="4"/>
  <c r="C38" i="4" a="1"/>
  <c r="C38" i="4"/>
  <c r="C45" i="4" a="1"/>
  <c r="C45" i="4"/>
  <c r="C48" i="4" a="1"/>
  <c r="C48" i="4"/>
  <c r="C54" i="4" a="1"/>
  <c r="C54" i="4"/>
  <c r="B10" i="3"/>
  <c r="I10" i="3"/>
  <c r="M10" i="3" a="1"/>
  <c r="M10" i="3"/>
  <c r="N10" i="3"/>
  <c r="O10" i="3"/>
  <c r="B11" i="3"/>
  <c r="I11" i="3"/>
  <c r="M11" i="3" a="1"/>
  <c r="M11" i="3"/>
  <c r="N11" i="3"/>
  <c r="O11" i="3"/>
  <c r="B12" i="3"/>
  <c r="I12" i="3"/>
  <c r="M12" i="3" a="1"/>
  <c r="M12" i="3"/>
  <c r="N12" i="3"/>
  <c r="O12" i="3"/>
  <c r="B13" i="3"/>
  <c r="I13" i="3"/>
  <c r="M13" i="3" a="1"/>
  <c r="M13" i="3"/>
  <c r="N13" i="3"/>
  <c r="O13" i="3"/>
  <c r="B14" i="3"/>
  <c r="M14" i="3" a="1"/>
  <c r="M14" i="3"/>
  <c r="N14" i="3"/>
  <c r="O14" i="3"/>
  <c r="B15" i="3"/>
  <c r="M15" i="3" a="1"/>
  <c r="M15" i="3"/>
  <c r="N15" i="3"/>
  <c r="O15" i="3"/>
  <c r="B16" i="3"/>
  <c r="M16" i="3" a="1"/>
  <c r="M16" i="3"/>
  <c r="N16" i="3"/>
  <c r="O16" i="3"/>
  <c r="B17" i="3"/>
  <c r="M17" i="3" a="1"/>
  <c r="M17" i="3"/>
  <c r="N17" i="3"/>
  <c r="O17" i="3"/>
  <c r="M18" i="3" a="1"/>
  <c r="M18" i="3"/>
  <c r="N18" i="3"/>
  <c r="O18" i="3"/>
  <c r="M19" i="3" a="1"/>
  <c r="M19" i="3"/>
  <c r="N19" i="3"/>
  <c r="O19" i="3"/>
  <c r="M20" i="3" a="1"/>
  <c r="M20" i="3"/>
  <c r="N20" i="3"/>
  <c r="O20" i="3"/>
  <c r="M21" i="3" a="1"/>
  <c r="M21" i="3"/>
  <c r="N21" i="3"/>
  <c r="O21" i="3"/>
  <c r="M22" i="3" a="1"/>
  <c r="M22" i="3"/>
  <c r="N22" i="3"/>
  <c r="O22" i="3"/>
  <c r="M23" i="3" a="1"/>
  <c r="M23" i="3"/>
  <c r="N23" i="3"/>
  <c r="O23" i="3"/>
  <c r="M24" i="3" a="1"/>
  <c r="M24" i="3"/>
  <c r="N24" i="3"/>
  <c r="O24" i="3"/>
  <c r="M25" i="3" a="1"/>
  <c r="M25" i="3"/>
  <c r="N25" i="3"/>
  <c r="O25" i="3"/>
  <c r="M26" i="3" a="1"/>
  <c r="M26" i="3"/>
  <c r="M27" i="3" a="1"/>
  <c r="M27" i="3"/>
  <c r="N27" i="3"/>
  <c r="O27" i="3"/>
  <c r="M28" i="3" a="1"/>
  <c r="M28" i="3"/>
  <c r="N28" i="3"/>
  <c r="O28" i="3"/>
  <c r="M29" i="3" a="1"/>
  <c r="M29" i="3"/>
  <c r="N29" i="3"/>
  <c r="O29" i="3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12" i="2"/>
  <c r="AB13" i="2"/>
  <c r="AB14" i="2"/>
  <c r="AB15" i="2"/>
  <c r="AB16" i="2"/>
  <c r="AB17" i="2"/>
  <c r="AB5" i="2"/>
  <c r="AB6" i="2"/>
  <c r="AB7" i="2"/>
  <c r="AB8" i="2"/>
  <c r="AB9" i="2"/>
  <c r="U52" i="2"/>
  <c r="U53" i="2"/>
  <c r="U54" i="2"/>
  <c r="U55" i="2"/>
  <c r="U56" i="2"/>
  <c r="U57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5" i="2"/>
  <c r="U33" i="2"/>
  <c r="U32" i="2"/>
  <c r="U31" i="2"/>
  <c r="U30" i="2"/>
  <c r="U29" i="2"/>
  <c r="U28" i="2"/>
  <c r="U27" i="2"/>
  <c r="U26" i="2"/>
  <c r="U25" i="2"/>
  <c r="U24" i="2"/>
  <c r="U23" i="2"/>
  <c r="U22" i="2"/>
  <c r="U20" i="2"/>
  <c r="U17" i="2"/>
  <c r="U16" i="2"/>
  <c r="U15" i="2"/>
  <c r="U14" i="2"/>
  <c r="U13" i="2"/>
  <c r="U12" i="2"/>
  <c r="U11" i="2"/>
  <c r="U9" i="2"/>
  <c r="U8" i="2"/>
  <c r="U7" i="2"/>
  <c r="U6" i="2"/>
  <c r="U5" i="2"/>
  <c r="U4" i="2"/>
  <c r="Y4" i="2"/>
  <c r="Z4" i="2"/>
  <c r="Y5" i="2"/>
  <c r="Z5" i="2"/>
  <c r="Y6" i="2"/>
  <c r="Z6" i="2"/>
  <c r="Y7" i="2"/>
  <c r="Z7" i="2"/>
  <c r="Y8" i="2"/>
  <c r="Z8" i="2"/>
  <c r="Y9" i="2"/>
  <c r="Z9" i="2"/>
  <c r="Y11" i="2"/>
  <c r="Z11" i="2"/>
  <c r="Y12" i="2"/>
  <c r="Z12" i="2"/>
  <c r="Y13" i="2"/>
  <c r="Z13" i="2"/>
  <c r="Y14" i="2"/>
  <c r="Z14" i="2"/>
  <c r="Y15" i="2"/>
  <c r="Z15" i="2"/>
  <c r="Y16" i="2"/>
  <c r="Z16" i="2"/>
  <c r="Y17" i="2"/>
  <c r="Z17" i="2"/>
  <c r="Y20" i="2"/>
  <c r="Z20" i="2"/>
  <c r="Y21" i="2"/>
  <c r="Z21" i="2"/>
  <c r="Y22" i="2"/>
  <c r="Z22" i="2"/>
  <c r="Y23" i="2"/>
  <c r="Z23" i="2"/>
  <c r="Y24" i="2"/>
  <c r="Z24" i="2"/>
  <c r="Y25" i="2"/>
  <c r="Z25" i="2"/>
  <c r="Y26" i="2"/>
  <c r="Z26" i="2"/>
  <c r="Y27" i="2"/>
  <c r="Z27" i="2"/>
  <c r="Y28" i="2"/>
  <c r="Z28" i="2"/>
  <c r="Y29" i="2"/>
  <c r="Z29" i="2"/>
  <c r="Y30" i="2"/>
  <c r="Z30" i="2"/>
  <c r="Y31" i="2"/>
  <c r="Z31" i="2"/>
  <c r="Y32" i="2"/>
  <c r="Z32" i="2"/>
  <c r="Y33" i="2"/>
  <c r="Z33" i="2"/>
  <c r="Y34" i="2"/>
  <c r="Z34" i="2"/>
  <c r="Y38" i="2"/>
  <c r="Z38" i="2"/>
  <c r="Y39" i="2"/>
  <c r="Z39" i="2"/>
  <c r="Y40" i="2"/>
  <c r="Z40" i="2"/>
  <c r="Y41" i="2"/>
  <c r="Z41" i="2"/>
  <c r="Y42" i="2"/>
  <c r="Z42" i="2"/>
  <c r="Y43" i="2"/>
  <c r="Z43" i="2"/>
  <c r="Y44" i="2"/>
  <c r="Z44" i="2"/>
  <c r="Y45" i="2"/>
  <c r="Z45" i="2"/>
  <c r="Y46" i="2"/>
  <c r="Z46" i="2"/>
  <c r="Y47" i="2"/>
  <c r="Z47" i="2"/>
  <c r="Y48" i="2"/>
  <c r="Z48" i="2"/>
  <c r="Y49" i="2"/>
  <c r="Z49" i="2"/>
  <c r="Y50" i="2"/>
  <c r="Z50" i="2"/>
  <c r="Y51" i="2"/>
  <c r="Z51" i="2"/>
  <c r="AC11" i="2" l="1" a="1"/>
  <c r="AC11" i="2" s="1"/>
  <c r="AC12" i="2" a="1"/>
  <c r="AC12" i="2" s="1"/>
  <c r="AC13" i="2" a="1"/>
  <c r="AC13" i="2" s="1"/>
  <c r="AC14" i="2" a="1"/>
  <c r="AC14" i="2" s="1"/>
  <c r="AC15" i="2" a="1"/>
  <c r="AC15" i="2" s="1"/>
  <c r="AC16" i="2" a="1"/>
  <c r="AC16" i="2" s="1"/>
  <c r="AC17" i="2" a="1"/>
  <c r="AC17" i="2" s="1"/>
  <c r="D11" i="3"/>
  <c r="D14" i="3"/>
  <c r="D16" i="3"/>
  <c r="AC4" i="2" a="1"/>
  <c r="AC4" i="2" s="1"/>
  <c r="AC5" i="2" a="1"/>
  <c r="AC5" i="2" s="1"/>
  <c r="AC6" i="2" a="1"/>
  <c r="AC6" i="2" s="1"/>
  <c r="AC7" i="2" a="1"/>
  <c r="AC7" i="2" s="1"/>
  <c r="AC8" i="2" a="1"/>
  <c r="AC8" i="2" s="1"/>
  <c r="AC9" i="2" a="1"/>
  <c r="AC9" i="2" s="1"/>
  <c r="C10" i="3" a="1"/>
  <c r="C10" i="3" s="1"/>
  <c r="J10" i="3" a="1"/>
  <c r="J10" i="3" s="1"/>
  <c r="K10" i="3" s="1"/>
  <c r="C11" i="3" a="1"/>
  <c r="C11" i="3" s="1"/>
  <c r="J11" i="3" a="1"/>
  <c r="J11" i="3" s="1"/>
  <c r="K11" i="3" s="1"/>
  <c r="C12" i="3" a="1"/>
  <c r="C12" i="3" s="1"/>
  <c r="J12" i="3" a="1"/>
  <c r="J12" i="3" s="1"/>
  <c r="C13" i="3" a="1"/>
  <c r="C13" i="3" s="1"/>
  <c r="J13" i="3" a="1"/>
  <c r="J13" i="3" s="1"/>
  <c r="C14" i="3" a="1"/>
  <c r="C14" i="3" s="1"/>
  <c r="C15" i="3" a="1"/>
  <c r="C15" i="3" s="1"/>
  <c r="C16" i="3" a="1"/>
  <c r="C16" i="3" s="1"/>
  <c r="C17" i="3" a="1"/>
  <c r="C17" i="3" s="1"/>
  <c r="N26" i="3"/>
  <c r="O26" i="3"/>
  <c r="Y35" i="2"/>
  <c r="Z35" i="2"/>
  <c r="Y57" i="2"/>
  <c r="D13" i="3" s="1"/>
  <c r="E13" i="3" s="1"/>
  <c r="Z57" i="2"/>
  <c r="Y56" i="2"/>
  <c r="D17" i="3" s="1"/>
  <c r="E17" i="3" s="1"/>
  <c r="Z56" i="2"/>
  <c r="Y55" i="2"/>
  <c r="Z55" i="2"/>
  <c r="Y54" i="2"/>
  <c r="Z54" i="2"/>
  <c r="Y53" i="2"/>
  <c r="D15" i="3" s="1"/>
  <c r="E15" i="3" s="1"/>
  <c r="Z53" i="2"/>
  <c r="Y52" i="2"/>
  <c r="Z52" i="2"/>
  <c r="C5" i="3" a="1"/>
  <c r="C5" i="3" s="1"/>
  <c r="G2" i="4" s="1"/>
  <c r="G3" i="4" s="1" a="1"/>
  <c r="G3" i="4" s="1"/>
  <c r="AR4" i="2" l="1"/>
  <c r="AS4" i="2"/>
  <c r="AR5" i="2"/>
  <c r="AS5" i="2"/>
  <c r="AR6" i="2"/>
  <c r="AS6" i="2"/>
  <c r="AR7" i="2"/>
  <c r="AS7" i="2"/>
  <c r="AR8" i="2"/>
  <c r="AS8" i="2"/>
  <c r="AR9" i="2"/>
  <c r="AS9" i="2"/>
  <c r="AR11" i="2"/>
  <c r="AS11" i="2"/>
  <c r="AR12" i="2"/>
  <c r="AS12" i="2"/>
  <c r="AR13" i="2"/>
  <c r="AS13" i="2"/>
  <c r="AR14" i="2"/>
  <c r="AS14" i="2"/>
  <c r="AR15" i="2"/>
  <c r="AS15" i="2"/>
  <c r="AR16" i="2"/>
  <c r="AS16" i="2"/>
  <c r="AR17" i="2"/>
  <c r="AS17" i="2"/>
  <c r="AR20" i="2"/>
  <c r="AS20" i="2"/>
  <c r="AR21" i="2"/>
  <c r="AS21" i="2"/>
  <c r="AR22" i="2"/>
  <c r="AS22" i="2"/>
  <c r="AR23" i="2"/>
  <c r="AS23" i="2"/>
  <c r="AR24" i="2"/>
  <c r="AS24" i="2"/>
  <c r="AR25" i="2"/>
  <c r="AS25" i="2"/>
  <c r="AR26" i="2"/>
  <c r="AS26" i="2"/>
  <c r="AR27" i="2"/>
  <c r="AS27" i="2"/>
  <c r="AR28" i="2"/>
  <c r="AS28" i="2"/>
  <c r="AR29" i="2"/>
  <c r="AS29" i="2"/>
  <c r="AR30" i="2"/>
  <c r="AS30" i="2"/>
  <c r="AR31" i="2"/>
  <c r="AS31" i="2"/>
  <c r="AR32" i="2"/>
  <c r="AS32" i="2"/>
  <c r="AR33" i="2"/>
  <c r="AS33" i="2"/>
  <c r="AR34" i="2"/>
  <c r="AS34" i="2"/>
  <c r="AR35" i="2"/>
  <c r="AS35" i="2"/>
  <c r="AR38" i="2"/>
  <c r="AS38" i="2"/>
  <c r="AR39" i="2"/>
  <c r="AS39" i="2"/>
  <c r="AR40" i="2"/>
  <c r="AS40" i="2"/>
  <c r="AR41" i="2"/>
  <c r="AS41" i="2"/>
  <c r="AR42" i="2"/>
  <c r="AS42" i="2"/>
  <c r="AR43" i="2"/>
  <c r="AS43" i="2"/>
  <c r="AR44" i="2"/>
  <c r="AS44" i="2"/>
  <c r="AR45" i="2"/>
  <c r="AS45" i="2"/>
  <c r="AR46" i="2"/>
  <c r="AS46" i="2"/>
  <c r="AR47" i="2"/>
  <c r="AS47" i="2"/>
  <c r="AR48" i="2"/>
  <c r="AS48" i="2"/>
  <c r="AR49" i="2"/>
  <c r="AS49" i="2"/>
  <c r="AR50" i="2"/>
  <c r="AS50" i="2"/>
  <c r="AR51" i="2"/>
  <c r="AS51" i="2"/>
  <c r="AR52" i="2"/>
  <c r="AS52" i="2"/>
  <c r="AR53" i="2"/>
  <c r="AS53" i="2"/>
  <c r="AR54" i="2"/>
  <c r="AS54" i="2"/>
  <c r="AR55" i="2"/>
  <c r="AS55" i="2"/>
  <c r="AR56" i="2"/>
  <c r="AS56" i="2"/>
  <c r="AR57" i="2"/>
  <c r="AS57" i="2"/>
  <c r="C2" i="4" a="1"/>
  <c r="C2" i="4" s="1"/>
  <c r="C3" i="4" a="1"/>
  <c r="C3" i="4" s="1"/>
  <c r="C4" i="4" a="1"/>
  <c r="C4" i="4" s="1"/>
  <c r="C5" i="4" a="1"/>
  <c r="C5" i="4" s="1"/>
  <c r="C6" i="4" a="1"/>
  <c r="C6" i="4" s="1"/>
  <c r="C7" i="4" a="1"/>
  <c r="C7" i="4" s="1"/>
  <c r="C8" i="4" a="1"/>
  <c r="C8" i="4" s="1"/>
  <c r="C10" i="4" a="1"/>
  <c r="C10" i="4" s="1"/>
  <c r="C11" i="4" a="1"/>
  <c r="C11" i="4" s="1"/>
  <c r="C12" i="4" a="1"/>
  <c r="C12" i="4" s="1"/>
  <c r="C13" i="4" a="1"/>
  <c r="C13" i="4" s="1"/>
  <c r="C14" i="4" a="1"/>
  <c r="C14" i="4" s="1"/>
  <c r="C15" i="4" a="1"/>
  <c r="C15" i="4" s="1"/>
  <c r="C17" i="4" a="1"/>
  <c r="C17" i="4" s="1"/>
  <c r="C18" i="4" a="1"/>
  <c r="C18" i="4" s="1"/>
  <c r="C19" i="4" a="1"/>
  <c r="C19" i="4" s="1"/>
  <c r="C20" i="4" a="1"/>
  <c r="C20" i="4" s="1"/>
  <c r="C21" i="4" a="1"/>
  <c r="C21" i="4" s="1"/>
  <c r="C22" i="4" a="1"/>
  <c r="C22" i="4" s="1"/>
  <c r="C23" i="4" a="1"/>
  <c r="C23" i="4" s="1"/>
  <c r="C25" i="4" a="1"/>
  <c r="C25" i="4" s="1"/>
  <c r="C26" i="4" a="1"/>
  <c r="C26" i="4" s="1"/>
  <c r="C27" i="4" a="1"/>
  <c r="C27" i="4" s="1"/>
  <c r="C28" i="4" a="1"/>
  <c r="C28" i="4" s="1"/>
  <c r="C29" i="4" a="1"/>
  <c r="C29" i="4" s="1"/>
  <c r="C30" i="4" a="1"/>
  <c r="C30" i="4" s="1"/>
  <c r="C32" i="4" a="1"/>
  <c r="C32" i="4" s="1"/>
  <c r="C33" i="4" a="1"/>
  <c r="C33" i="4" s="1"/>
  <c r="C34" i="4" a="1"/>
  <c r="C34" i="4" s="1"/>
  <c r="C35" i="4" a="1"/>
  <c r="C35" i="4" s="1"/>
  <c r="C36" i="4" a="1"/>
  <c r="C36" i="4" s="1"/>
  <c r="C37" i="4" a="1"/>
  <c r="C37" i="4" s="1"/>
  <c r="C39" i="4" a="1"/>
  <c r="C39" i="4" s="1"/>
  <c r="C40" i="4" a="1"/>
  <c r="C40" i="4" s="1"/>
  <c r="C41" i="4" a="1"/>
  <c r="C41" i="4" s="1"/>
  <c r="C42" i="4" a="1"/>
  <c r="C42" i="4" s="1"/>
  <c r="C43" i="4" a="1"/>
  <c r="C43" i="4" s="1"/>
  <c r="C44" i="4" a="1"/>
  <c r="C44" i="4" s="1"/>
  <c r="C46" i="4" a="1"/>
  <c r="C46" i="4" s="1"/>
  <c r="C47" i="4" a="1"/>
  <c r="C47" i="4" s="1"/>
  <c r="C49" i="4" a="1"/>
  <c r="C49" i="4" s="1"/>
  <c r="C50" i="4" a="1"/>
  <c r="C50" i="4" s="1"/>
  <c r="C51" i="4" a="1"/>
  <c r="C51" i="4" s="1"/>
  <c r="C52" i="4" a="1"/>
  <c r="C52" i="4" s="1"/>
  <c r="C53" i="4" a="1"/>
  <c r="C53" i="4" s="1"/>
  <c r="C55" i="4" a="1"/>
  <c r="C55" i="4" s="1"/>
  <c r="C56" i="4" a="1"/>
  <c r="C56" i="4" s="1"/>
  <c r="C57" i="4" a="1"/>
  <c r="C57" i="4" s="1"/>
  <c r="C1" i="4"/>
  <c r="G4" i="4"/>
  <c r="AJ1" i="2" s="1"/>
  <c r="D5" i="3"/>
  <c r="AC38" i="2" a="1"/>
  <c r="AC38" i="2" s="1"/>
  <c r="AC39" i="2" a="1"/>
  <c r="AC39" i="2" s="1"/>
  <c r="AC40" i="2" a="1"/>
  <c r="AC40" i="2" s="1"/>
  <c r="AC41" i="2" a="1"/>
  <c r="AC41" i="2" s="1"/>
  <c r="AC42" i="2" a="1"/>
  <c r="AC42" i="2" s="1"/>
  <c r="AC43" i="2" a="1"/>
  <c r="AC43" i="2" s="1"/>
  <c r="AC44" i="2" a="1"/>
  <c r="AC44" i="2" s="1"/>
  <c r="AC45" i="2" a="1"/>
  <c r="AC45" i="2" s="1"/>
  <c r="AC46" i="2" a="1"/>
  <c r="AC46" i="2" s="1"/>
  <c r="AC47" i="2" a="1"/>
  <c r="AC47" i="2" s="1"/>
  <c r="AC48" i="2" a="1"/>
  <c r="AC48" i="2" s="1"/>
  <c r="AC49" i="2" a="1"/>
  <c r="AC49" i="2" s="1"/>
  <c r="AC50" i="2" a="1"/>
  <c r="AC50" i="2" s="1"/>
  <c r="AC51" i="2" a="1"/>
  <c r="AC51" i="2" s="1"/>
  <c r="AC52" i="2" a="1"/>
  <c r="AC52" i="2" s="1"/>
  <c r="AC53" i="2" a="1"/>
  <c r="AC53" i="2" s="1"/>
  <c r="AC54" i="2" a="1"/>
  <c r="AC54" i="2" s="1"/>
  <c r="AC55" i="2" a="1"/>
  <c r="AC55" i="2" s="1"/>
  <c r="AC56" i="2" a="1"/>
  <c r="AC56" i="2" s="1"/>
  <c r="AC57" i="2" a="1"/>
  <c r="AC57" i="2" s="1"/>
  <c r="K13" i="3"/>
  <c r="D12" i="3"/>
  <c r="E12" i="3" s="1"/>
  <c r="AC20" i="2" a="1"/>
  <c r="AC20" i="2" s="1"/>
  <c r="AC21" i="2" a="1"/>
  <c r="AC21" i="2" s="1"/>
  <c r="AC22" i="2" a="1"/>
  <c r="AC22" i="2" s="1"/>
  <c r="AC23" i="2" a="1"/>
  <c r="AC23" i="2" s="1"/>
  <c r="AC24" i="2" a="1"/>
  <c r="AC24" i="2" s="1"/>
  <c r="AC25" i="2" a="1"/>
  <c r="AC25" i="2" s="1"/>
  <c r="AC26" i="2" a="1"/>
  <c r="AC26" i="2" s="1"/>
  <c r="AC27" i="2" a="1"/>
  <c r="AC27" i="2" s="1"/>
  <c r="AC28" i="2" a="1"/>
  <c r="AC28" i="2" s="1"/>
  <c r="AC29" i="2" a="1"/>
  <c r="AC29" i="2" s="1"/>
  <c r="AC30" i="2" a="1"/>
  <c r="AC30" i="2" s="1"/>
  <c r="AC31" i="2" a="1"/>
  <c r="AC31" i="2" s="1"/>
  <c r="AC32" i="2" a="1"/>
  <c r="AC32" i="2" s="1"/>
  <c r="AC33" i="2" a="1"/>
  <c r="AC33" i="2" s="1"/>
  <c r="AC34" i="2" a="1"/>
  <c r="AC34" i="2" s="1"/>
  <c r="AC35" i="2" a="1"/>
  <c r="AC35" i="2" s="1"/>
  <c r="A5" i="3"/>
  <c r="E5" i="3" s="1"/>
  <c r="K12" i="3"/>
  <c r="D10" i="3"/>
  <c r="E10" i="3" s="1"/>
  <c r="AD9" i="2"/>
  <c r="AE9" i="2"/>
  <c r="AF9" i="2"/>
  <c r="AG9" i="2"/>
  <c r="AD8" i="2"/>
  <c r="AE8" i="2"/>
  <c r="AF8" i="2"/>
  <c r="AG8" i="2"/>
  <c r="AD7" i="2"/>
  <c r="AE7" i="2"/>
  <c r="AF7" i="2"/>
  <c r="AG7" i="2"/>
  <c r="AD6" i="2"/>
  <c r="AE6" i="2"/>
  <c r="AF6" i="2"/>
  <c r="AG6" i="2"/>
  <c r="AD5" i="2"/>
  <c r="AE5" i="2"/>
  <c r="AF5" i="2"/>
  <c r="AG5" i="2"/>
  <c r="AD4" i="2"/>
  <c r="AE4" i="2"/>
  <c r="AF4" i="2"/>
  <c r="AG4" i="2"/>
  <c r="E16" i="3"/>
  <c r="E14" i="3"/>
  <c r="E11" i="3"/>
  <c r="F11" i="3" s="1"/>
  <c r="AD17" i="2"/>
  <c r="AE17" i="2"/>
  <c r="AF17" i="2"/>
  <c r="AG17" i="2"/>
  <c r="AD16" i="2"/>
  <c r="AE16" i="2"/>
  <c r="AF16" i="2"/>
  <c r="AG16" i="2"/>
  <c r="AD15" i="2"/>
  <c r="AE15" i="2"/>
  <c r="AF15" i="2"/>
  <c r="AG15" i="2"/>
  <c r="AD14" i="2"/>
  <c r="AE14" i="2"/>
  <c r="AF14" i="2"/>
  <c r="AG14" i="2"/>
  <c r="AD13" i="2"/>
  <c r="AE13" i="2"/>
  <c r="AF13" i="2"/>
  <c r="AG13" i="2"/>
  <c r="AD12" i="2"/>
  <c r="AE12" i="2"/>
  <c r="AF12" i="2"/>
  <c r="AG12" i="2"/>
  <c r="AD11" i="2"/>
  <c r="AE11" i="2"/>
  <c r="AF11" i="2"/>
  <c r="AG11" i="2"/>
  <c r="AK38" i="2" l="1" a="1"/>
  <c r="AK38" i="2" s="1"/>
  <c r="AK39" i="2" a="1"/>
  <c r="AK39" i="2" s="1"/>
  <c r="AK40" i="2" a="1"/>
  <c r="AK40" i="2" s="1"/>
  <c r="AK41" i="2" a="1"/>
  <c r="AK41" i="2" s="1"/>
  <c r="AK42" i="2" a="1"/>
  <c r="AK42" i="2" s="1"/>
  <c r="AK43" i="2" a="1"/>
  <c r="AK43" i="2" s="1"/>
  <c r="AK44" i="2" a="1"/>
  <c r="AK44" i="2" s="1"/>
  <c r="AK45" i="2" a="1"/>
  <c r="AK45" i="2" s="1"/>
  <c r="AK46" i="2" a="1"/>
  <c r="AK46" i="2" s="1"/>
  <c r="AK47" i="2" a="1"/>
  <c r="AK47" i="2" s="1"/>
  <c r="AK48" i="2" a="1"/>
  <c r="AK48" i="2" s="1"/>
  <c r="AK49" i="2" a="1"/>
  <c r="AK49" i="2" s="1"/>
  <c r="AK50" i="2" a="1"/>
  <c r="AK50" i="2" s="1"/>
  <c r="AK51" i="2" a="1"/>
  <c r="AK51" i="2" s="1"/>
  <c r="AK52" i="2" a="1"/>
  <c r="AK52" i="2" s="1"/>
  <c r="AK53" i="2" a="1"/>
  <c r="AK53" i="2" s="1"/>
  <c r="AK54" i="2" a="1"/>
  <c r="AK54" i="2" s="1"/>
  <c r="AK55" i="2" a="1"/>
  <c r="AK55" i="2" s="1"/>
  <c r="AK56" i="2" a="1"/>
  <c r="AK56" i="2" s="1"/>
  <c r="AK57" i="2" a="1"/>
  <c r="AK57" i="2" s="1"/>
  <c r="AK20" i="2" a="1"/>
  <c r="AK20" i="2" s="1"/>
  <c r="AK21" i="2" a="1"/>
  <c r="AK21" i="2" s="1"/>
  <c r="AK22" i="2" a="1"/>
  <c r="AK22" i="2" s="1"/>
  <c r="AK23" i="2" a="1"/>
  <c r="AK23" i="2" s="1"/>
  <c r="AK24" i="2" a="1"/>
  <c r="AK24" i="2" s="1"/>
  <c r="AK25" i="2" a="1"/>
  <c r="AK25" i="2" s="1"/>
  <c r="AK26" i="2" a="1"/>
  <c r="AK26" i="2" s="1"/>
  <c r="AK27" i="2" a="1"/>
  <c r="AK27" i="2" s="1"/>
  <c r="AK28" i="2" a="1"/>
  <c r="AK28" i="2" s="1"/>
  <c r="AK29" i="2" a="1"/>
  <c r="AK29" i="2" s="1"/>
  <c r="AK30" i="2" a="1"/>
  <c r="AK30" i="2" s="1"/>
  <c r="AK31" i="2" a="1"/>
  <c r="AK31" i="2" s="1"/>
  <c r="AK32" i="2" a="1"/>
  <c r="AK32" i="2" s="1"/>
  <c r="AK33" i="2" a="1"/>
  <c r="AK33" i="2" s="1"/>
  <c r="AK34" i="2" a="1"/>
  <c r="AK34" i="2" s="1"/>
  <c r="AK35" i="2" a="1"/>
  <c r="AK35" i="2" s="1"/>
  <c r="AK11" i="2" a="1"/>
  <c r="AK11" i="2" s="1"/>
  <c r="AK12" i="2" a="1"/>
  <c r="AK12" i="2" s="1"/>
  <c r="AK13" i="2" a="1"/>
  <c r="AK13" i="2" s="1"/>
  <c r="AK14" i="2" a="1"/>
  <c r="AK14" i="2" s="1"/>
  <c r="AK15" i="2" a="1"/>
  <c r="AK15" i="2" s="1"/>
  <c r="AK16" i="2" a="1"/>
  <c r="AK16" i="2" s="1"/>
  <c r="AK17" i="2" a="1"/>
  <c r="AK17" i="2" s="1"/>
  <c r="AK4" i="2" a="1"/>
  <c r="AK4" i="2" s="1"/>
  <c r="AK5" i="2" a="1"/>
  <c r="AK5" i="2" s="1"/>
  <c r="AK6" i="2" a="1"/>
  <c r="AK6" i="2" s="1"/>
  <c r="AK7" i="2" a="1"/>
  <c r="AK7" i="2" s="1"/>
  <c r="AK8" i="2" a="1"/>
  <c r="AK8" i="2" s="1"/>
  <c r="AK9" i="2" a="1"/>
  <c r="AK9" i="2" s="1"/>
  <c r="F14" i="3"/>
  <c r="F16" i="3"/>
  <c r="F10" i="3"/>
  <c r="F15" i="3"/>
  <c r="F17" i="3"/>
  <c r="F13" i="3"/>
  <c r="AD35" i="2"/>
  <c r="AE35" i="2"/>
  <c r="AF35" i="2"/>
  <c r="AG35" i="2"/>
  <c r="AD34" i="2"/>
  <c r="AE34" i="2"/>
  <c r="AF34" i="2"/>
  <c r="AG34" i="2"/>
  <c r="AD33" i="2"/>
  <c r="AE33" i="2"/>
  <c r="AF33" i="2"/>
  <c r="AG33" i="2"/>
  <c r="AD32" i="2"/>
  <c r="AE32" i="2"/>
  <c r="AF32" i="2"/>
  <c r="AG32" i="2"/>
  <c r="AD31" i="2"/>
  <c r="AE31" i="2"/>
  <c r="AF31" i="2"/>
  <c r="AG31" i="2"/>
  <c r="AD30" i="2"/>
  <c r="AE30" i="2"/>
  <c r="AF30" i="2"/>
  <c r="AG30" i="2"/>
  <c r="AD29" i="2"/>
  <c r="AE29" i="2"/>
  <c r="AF29" i="2"/>
  <c r="AG29" i="2"/>
  <c r="AD28" i="2"/>
  <c r="AE28" i="2"/>
  <c r="AF28" i="2"/>
  <c r="AG28" i="2"/>
  <c r="AD27" i="2"/>
  <c r="AE27" i="2"/>
  <c r="AF27" i="2"/>
  <c r="AG27" i="2"/>
  <c r="AD26" i="2"/>
  <c r="AE26" i="2"/>
  <c r="AF26" i="2"/>
  <c r="AG26" i="2"/>
  <c r="AD25" i="2"/>
  <c r="AE25" i="2"/>
  <c r="AF25" i="2"/>
  <c r="AG25" i="2"/>
  <c r="AD24" i="2"/>
  <c r="AE24" i="2"/>
  <c r="AF24" i="2"/>
  <c r="AG24" i="2"/>
  <c r="AD23" i="2"/>
  <c r="AE23" i="2"/>
  <c r="AF23" i="2"/>
  <c r="AG23" i="2"/>
  <c r="AD22" i="2"/>
  <c r="AE22" i="2"/>
  <c r="AF22" i="2"/>
  <c r="AG22" i="2"/>
  <c r="AD21" i="2"/>
  <c r="AE21" i="2"/>
  <c r="AF21" i="2"/>
  <c r="AG21" i="2"/>
  <c r="AD20" i="2"/>
  <c r="AE20" i="2"/>
  <c r="AF20" i="2"/>
  <c r="AG20" i="2"/>
  <c r="F12" i="3"/>
  <c r="AD57" i="2"/>
  <c r="AE57" i="2"/>
  <c r="AF57" i="2"/>
  <c r="AG57" i="2"/>
  <c r="AD56" i="2"/>
  <c r="AE56" i="2"/>
  <c r="AF56" i="2"/>
  <c r="AG56" i="2"/>
  <c r="AD55" i="2"/>
  <c r="AE55" i="2"/>
  <c r="AF55" i="2"/>
  <c r="AG55" i="2"/>
  <c r="AD54" i="2"/>
  <c r="AE54" i="2"/>
  <c r="AF54" i="2"/>
  <c r="AG54" i="2"/>
  <c r="AD53" i="2"/>
  <c r="AE53" i="2"/>
  <c r="AF53" i="2"/>
  <c r="AG53" i="2"/>
  <c r="AD52" i="2"/>
  <c r="AE52" i="2"/>
  <c r="AF52" i="2"/>
  <c r="AG52" i="2"/>
  <c r="AD51" i="2"/>
  <c r="AE51" i="2"/>
  <c r="AF51" i="2"/>
  <c r="AG51" i="2"/>
  <c r="AD50" i="2"/>
  <c r="AE50" i="2"/>
  <c r="AF50" i="2"/>
  <c r="AG50" i="2"/>
  <c r="AD49" i="2"/>
  <c r="AE49" i="2"/>
  <c r="AF49" i="2"/>
  <c r="AG49" i="2"/>
  <c r="AD48" i="2"/>
  <c r="AE48" i="2"/>
  <c r="AF48" i="2"/>
  <c r="AG48" i="2"/>
  <c r="AD47" i="2"/>
  <c r="AE47" i="2"/>
  <c r="AF47" i="2"/>
  <c r="AG47" i="2"/>
  <c r="AD46" i="2"/>
  <c r="AE46" i="2"/>
  <c r="AF46" i="2"/>
  <c r="AG46" i="2"/>
  <c r="AD45" i="2"/>
  <c r="AE45" i="2"/>
  <c r="AF45" i="2"/>
  <c r="AG45" i="2"/>
  <c r="AD44" i="2"/>
  <c r="AE44" i="2"/>
  <c r="AF44" i="2"/>
  <c r="AG44" i="2"/>
  <c r="AD43" i="2"/>
  <c r="AE43" i="2"/>
  <c r="AF43" i="2"/>
  <c r="AG43" i="2"/>
  <c r="AD42" i="2"/>
  <c r="AE42" i="2"/>
  <c r="AF42" i="2"/>
  <c r="AG42" i="2"/>
  <c r="AD41" i="2"/>
  <c r="AE41" i="2"/>
  <c r="AF41" i="2"/>
  <c r="AG41" i="2"/>
  <c r="AD40" i="2"/>
  <c r="AE40" i="2"/>
  <c r="AF40" i="2"/>
  <c r="AG40" i="2"/>
  <c r="AD39" i="2"/>
  <c r="AE39" i="2"/>
  <c r="AF39" i="2"/>
  <c r="AG39" i="2"/>
  <c r="AD38" i="2"/>
  <c r="AE38" i="2"/>
  <c r="AF38" i="2"/>
  <c r="AG38" i="2"/>
  <c r="AH38" i="2" s="1"/>
  <c r="AL9" i="2" l="1"/>
  <c r="AM9" i="2"/>
  <c r="AN9" i="2"/>
  <c r="AO9" i="2"/>
  <c r="AL8" i="2"/>
  <c r="AM8" i="2"/>
  <c r="AN8" i="2"/>
  <c r="AO8" i="2"/>
  <c r="AL7" i="2"/>
  <c r="AM7" i="2"/>
  <c r="AN7" i="2"/>
  <c r="AO7" i="2"/>
  <c r="AL6" i="2"/>
  <c r="AM6" i="2"/>
  <c r="AN6" i="2"/>
  <c r="AO6" i="2"/>
  <c r="AL5" i="2"/>
  <c r="AM5" i="2"/>
  <c r="AN5" i="2"/>
  <c r="AO5" i="2"/>
  <c r="AL4" i="2"/>
  <c r="AM4" i="2"/>
  <c r="AN4" i="2"/>
  <c r="AO4" i="2"/>
  <c r="AL17" i="2"/>
  <c r="AM17" i="2"/>
  <c r="AN17" i="2"/>
  <c r="AO17" i="2"/>
  <c r="AL16" i="2"/>
  <c r="AM16" i="2"/>
  <c r="AN16" i="2"/>
  <c r="AO16" i="2"/>
  <c r="AL15" i="2"/>
  <c r="AM15" i="2"/>
  <c r="AN15" i="2"/>
  <c r="AO15" i="2"/>
  <c r="AL14" i="2"/>
  <c r="AM14" i="2"/>
  <c r="AN14" i="2"/>
  <c r="AO14" i="2"/>
  <c r="AL13" i="2"/>
  <c r="AM13" i="2"/>
  <c r="AN13" i="2"/>
  <c r="AO13" i="2"/>
  <c r="AL12" i="2"/>
  <c r="AM12" i="2"/>
  <c r="AN12" i="2"/>
  <c r="AO12" i="2"/>
  <c r="AL11" i="2"/>
  <c r="AM11" i="2"/>
  <c r="AN11" i="2"/>
  <c r="AO11" i="2"/>
  <c r="AL35" i="2"/>
  <c r="AM35" i="2"/>
  <c r="AN35" i="2"/>
  <c r="AO35" i="2"/>
  <c r="AL34" i="2"/>
  <c r="AM34" i="2"/>
  <c r="AN34" i="2"/>
  <c r="AO34" i="2"/>
  <c r="AL33" i="2"/>
  <c r="AM33" i="2"/>
  <c r="AN33" i="2"/>
  <c r="AO33" i="2"/>
  <c r="AL32" i="2"/>
  <c r="AM32" i="2"/>
  <c r="AN32" i="2"/>
  <c r="AO32" i="2"/>
  <c r="AL31" i="2"/>
  <c r="AM31" i="2"/>
  <c r="AN31" i="2"/>
  <c r="AO31" i="2"/>
  <c r="AL30" i="2"/>
  <c r="AM30" i="2"/>
  <c r="AN30" i="2"/>
  <c r="AO30" i="2"/>
  <c r="AL29" i="2"/>
  <c r="AM29" i="2"/>
  <c r="AN29" i="2"/>
  <c r="AO29" i="2"/>
  <c r="AL28" i="2"/>
  <c r="AM28" i="2"/>
  <c r="AN28" i="2"/>
  <c r="AO28" i="2"/>
  <c r="AL27" i="2"/>
  <c r="AM27" i="2"/>
  <c r="AN27" i="2"/>
  <c r="AO27" i="2"/>
  <c r="AL26" i="2"/>
  <c r="AM26" i="2"/>
  <c r="AN26" i="2"/>
  <c r="AO26" i="2"/>
  <c r="AL25" i="2"/>
  <c r="AM25" i="2"/>
  <c r="AN25" i="2"/>
  <c r="AO25" i="2"/>
  <c r="AL24" i="2"/>
  <c r="AM24" i="2"/>
  <c r="AN24" i="2"/>
  <c r="AO24" i="2"/>
  <c r="AL23" i="2"/>
  <c r="AM23" i="2"/>
  <c r="AN23" i="2"/>
  <c r="AO23" i="2"/>
  <c r="AL22" i="2"/>
  <c r="AM22" i="2"/>
  <c r="AN22" i="2"/>
  <c r="AO22" i="2"/>
  <c r="AL21" i="2"/>
  <c r="AM21" i="2"/>
  <c r="AN21" i="2"/>
  <c r="AO21" i="2"/>
  <c r="AL20" i="2"/>
  <c r="AM20" i="2"/>
  <c r="AN20" i="2"/>
  <c r="AO20" i="2"/>
  <c r="AL57" i="2"/>
  <c r="AM57" i="2"/>
  <c r="AN57" i="2"/>
  <c r="AO57" i="2"/>
  <c r="AL56" i="2"/>
  <c r="AM56" i="2"/>
  <c r="AN56" i="2"/>
  <c r="AO56" i="2"/>
  <c r="AL55" i="2"/>
  <c r="AM55" i="2"/>
  <c r="AN55" i="2"/>
  <c r="AO55" i="2"/>
  <c r="AL54" i="2"/>
  <c r="AM54" i="2"/>
  <c r="AN54" i="2"/>
  <c r="AO54" i="2"/>
  <c r="AL53" i="2"/>
  <c r="AM53" i="2"/>
  <c r="AN53" i="2"/>
  <c r="AO53" i="2"/>
  <c r="AL52" i="2"/>
  <c r="AM52" i="2"/>
  <c r="AN52" i="2"/>
  <c r="AO52" i="2"/>
  <c r="AL51" i="2"/>
  <c r="AM51" i="2"/>
  <c r="AN51" i="2"/>
  <c r="AO51" i="2"/>
  <c r="AL50" i="2"/>
  <c r="AM50" i="2"/>
  <c r="AN50" i="2"/>
  <c r="AO50" i="2"/>
  <c r="AL49" i="2"/>
  <c r="AM49" i="2"/>
  <c r="AN49" i="2"/>
  <c r="AO49" i="2"/>
  <c r="AL48" i="2"/>
  <c r="AM48" i="2"/>
  <c r="AN48" i="2"/>
  <c r="AO48" i="2"/>
  <c r="AL47" i="2"/>
  <c r="AM47" i="2"/>
  <c r="AN47" i="2"/>
  <c r="AO47" i="2"/>
  <c r="AL46" i="2"/>
  <c r="AM46" i="2"/>
  <c r="AN46" i="2"/>
  <c r="AO46" i="2"/>
  <c r="AL45" i="2"/>
  <c r="AM45" i="2"/>
  <c r="AN45" i="2"/>
  <c r="AO45" i="2"/>
  <c r="AL44" i="2"/>
  <c r="AM44" i="2"/>
  <c r="AN44" i="2"/>
  <c r="AO44" i="2"/>
  <c r="AL43" i="2"/>
  <c r="AM43" i="2"/>
  <c r="AN43" i="2"/>
  <c r="AO43" i="2"/>
  <c r="AL42" i="2"/>
  <c r="AM42" i="2"/>
  <c r="AN42" i="2"/>
  <c r="AO42" i="2"/>
  <c r="AL41" i="2"/>
  <c r="AM41" i="2"/>
  <c r="AN41" i="2"/>
  <c r="AO41" i="2"/>
  <c r="AL40" i="2"/>
  <c r="AM40" i="2"/>
  <c r="AN40" i="2"/>
  <c r="AO40" i="2"/>
  <c r="AL39" i="2"/>
  <c r="AM39" i="2"/>
  <c r="AN39" i="2"/>
  <c r="AO39" i="2"/>
  <c r="AL38" i="2"/>
  <c r="AM38" i="2"/>
  <c r="AN38" i="2"/>
  <c r="AO38" i="2"/>
  <c r="AP38" i="2" s="1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20" i="2"/>
  <c r="AH11" i="2"/>
  <c r="AH12" i="2"/>
  <c r="AH13" i="2"/>
  <c r="AH14" i="2"/>
  <c r="AH15" i="2"/>
  <c r="AH16" i="2"/>
  <c r="AH17" i="2"/>
  <c r="AH4" i="2"/>
  <c r="AH5" i="2"/>
  <c r="AH6" i="2"/>
  <c r="AH7" i="2"/>
  <c r="AH8" i="2"/>
  <c r="AH9" i="2"/>
  <c r="B21" i="3" a="1"/>
  <c r="B21" i="3" s="1"/>
  <c r="B22" i="3" a="1"/>
  <c r="B22" i="3" s="1"/>
  <c r="B23" i="3" a="1"/>
  <c r="B23" i="3" s="1"/>
  <c r="B24" i="3" a="1"/>
  <c r="B24" i="3" s="1"/>
  <c r="B25" i="3" a="1"/>
  <c r="B25" i="3" s="1"/>
  <c r="B26" i="3" a="1"/>
  <c r="B26" i="3" s="1"/>
  <c r="B27" i="3" a="1"/>
  <c r="B27" i="3" s="1"/>
  <c r="B28" i="3" a="1"/>
  <c r="B28" i="3" s="1"/>
  <c r="B29" i="3" a="1"/>
  <c r="B29" i="3" s="1"/>
  <c r="B30" i="3" a="1"/>
  <c r="B30" i="3" s="1"/>
  <c r="B5" i="3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P39" i="2" l="1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11" i="2"/>
  <c r="AP12" i="2"/>
  <c r="AP13" i="2"/>
  <c r="AP14" i="2"/>
  <c r="AP15" i="2"/>
  <c r="AP16" i="2"/>
  <c r="AP17" i="2"/>
  <c r="AP4" i="2"/>
  <c r="AP5" i="2"/>
  <c r="AP6" i="2"/>
  <c r="AP7" i="2"/>
  <c r="AP8" i="2"/>
  <c r="AP9" i="2"/>
  <c r="C30" i="3"/>
  <c r="D30" i="3"/>
  <c r="E30" i="3"/>
  <c r="F30" i="3"/>
  <c r="C29" i="3"/>
  <c r="D29" i="3"/>
  <c r="E29" i="3"/>
  <c r="F29" i="3"/>
  <c r="C28" i="3"/>
  <c r="D28" i="3"/>
  <c r="E28" i="3"/>
  <c r="F28" i="3"/>
  <c r="C27" i="3"/>
  <c r="D27" i="3"/>
  <c r="E27" i="3"/>
  <c r="F27" i="3"/>
  <c r="C26" i="3"/>
  <c r="D26" i="3"/>
  <c r="E26" i="3"/>
  <c r="F26" i="3"/>
  <c r="C25" i="3"/>
  <c r="D25" i="3"/>
  <c r="E25" i="3"/>
  <c r="F25" i="3"/>
  <c r="C24" i="3"/>
  <c r="D24" i="3"/>
  <c r="E24" i="3"/>
  <c r="F24" i="3"/>
  <c r="C23" i="3"/>
  <c r="D23" i="3"/>
  <c r="E23" i="3"/>
  <c r="F23" i="3"/>
  <c r="C22" i="3"/>
  <c r="D22" i="3"/>
  <c r="E22" i="3"/>
  <c r="F22" i="3"/>
  <c r="C21" i="3"/>
  <c r="D21" i="3"/>
  <c r="E21" i="3"/>
  <c r="F21" i="3"/>
  <c r="A3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Yogesh Deuba</author>
  </authors>
  <commentList>
    <comment ref="A1" authorId="0" shapeId="0" xr:uid="{AD43414D-93C5-4721-B61D-0168C64A9F1C}">
      <text>
        <r>
          <rPr>
            <sz val="11"/>
            <color theme="1"/>
            <rFont val="Aptos Narrow"/>
            <family val="2"/>
            <scheme val="minor"/>
          </rPr>
          <t>Source: KPI REPORTS (Sprint 138)(Overall).csv, uploaded 2026-10-02. Used to add new members Mandip Thapa (row 35) and rows 52–57 (Ashika Balami, Dilendra Thagunna, Rashi Bhatta, Love Sainju, Paru Maharjan, Dipesh Kayastha).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<sst xmlns="http://schemas.openxmlformats.org/spreadsheetml/2006/main" count="669" uniqueCount="174">
  <si>
    <t>S.N</t>
  </si>
  <si>
    <t xml:space="preserve">Resources </t>
  </si>
  <si>
    <t>Teams</t>
  </si>
  <si>
    <t>Designation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</si>
  <si>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</si>
  <si>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</si>
  <si>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</si>
  <si>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</si>
  <si>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</si>
  <si>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</si>
  <si>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</si>
  <si>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</si>
  <si>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</si>
  <si>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</si>
  <si>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</si>
  <si>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</si>
  <si>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</si>
  <si>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</si>
  <si>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</si>
  <si>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</si>
  <si>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</si>
  <si>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</si>
  <si>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</si>
  <si>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</si>
  <si>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Total</t>
  </si>
  <si>
    <t>Average</t>
  </si>
  <si>
    <t>Overall Rankings</t>
  </si>
  <si>
    <t>Helper: last-N window</t>
  </si>
  <si>
    <t>Name</t>
  </si>
  <si>
    <t>Sprints</t>
  </si>
  <si>
    <t>Total Score</t>
  </si>
  <si>
    <t>Avg Score</t>
  </si>
  <si>
    <t>Overall Ranking</t>
  </si>
  <si>
    <t>Team</t>
  </si>
  <si>
    <t>Last-N Avg</t>
  </si>
  <si>
    <t>Last-N Sprints</t>
  </si>
  <si>
    <t>TEAM LEAD</t>
  </si>
  <si>
    <t>Bishal Stha</t>
  </si>
  <si>
    <t>Team Bravo</t>
  </si>
  <si>
    <t>Team Lead</t>
  </si>
  <si>
    <t>RUN</t>
  </si>
  <si>
    <t>Niba Tandukar</t>
  </si>
  <si>
    <t>DevOps</t>
  </si>
  <si>
    <t>N/A</t>
  </si>
  <si>
    <t>Dharma Gurung</t>
  </si>
  <si>
    <t>Blaze Warrior</t>
  </si>
  <si>
    <t>Sanjay Khadka</t>
  </si>
  <si>
    <t>Team Sanjay</t>
  </si>
  <si>
    <t>Bimal Sharma</t>
  </si>
  <si>
    <t>Team Bimal</t>
  </si>
  <si>
    <t>Bikash Bhandari</t>
  </si>
  <si>
    <t>Team Dhangadhi</t>
  </si>
  <si>
    <t>SSE</t>
  </si>
  <si>
    <t>Ram Chandra Dahal</t>
  </si>
  <si>
    <t>Run Team</t>
  </si>
  <si>
    <t>Abhinash Neupane</t>
  </si>
  <si>
    <t>Anuj Magar</t>
  </si>
  <si>
    <t>Ravi Gupta</t>
  </si>
  <si>
    <t>Nirjal Dahal</t>
  </si>
  <si>
    <t>BK Krishna Magar</t>
  </si>
  <si>
    <t>Susan Mool</t>
  </si>
  <si>
    <t>SE</t>
  </si>
  <si>
    <t>Shreeya Shakya</t>
  </si>
  <si>
    <t>Sajjan Khanal</t>
  </si>
  <si>
    <t>Susmita Parajuli</t>
  </si>
  <si>
    <t>Rashik Shrestha</t>
  </si>
  <si>
    <t>Aashish Katwal</t>
  </si>
  <si>
    <t>Sagar Maharjan</t>
  </si>
  <si>
    <t>Sayara Dangol</t>
  </si>
  <si>
    <t>Jeevan Joshi</t>
  </si>
  <si>
    <t>Ankit Belal</t>
  </si>
  <si>
    <t>Anish Gho Shrestha</t>
  </si>
  <si>
    <t>Suyog Acharya</t>
  </si>
  <si>
    <t>Aayush Puri</t>
  </si>
  <si>
    <t>Prajjwal Pandey</t>
  </si>
  <si>
    <t>Agrim Paneru</t>
  </si>
  <si>
    <t>AI Team</t>
  </si>
  <si>
    <t>Anmol Chalise</t>
  </si>
  <si>
    <t>Mandip Thapa</t>
  </si>
  <si>
    <t>ASE</t>
  </si>
  <si>
    <t>Diplov Khatri</t>
  </si>
  <si>
    <t>Ramita Shrestha</t>
  </si>
  <si>
    <t>Niva  Awale</t>
  </si>
  <si>
    <t>Shishir Sharma</t>
  </si>
  <si>
    <t>Surya joshi</t>
  </si>
  <si>
    <t>Santosh Upadhyay</t>
  </si>
  <si>
    <t>Bishal Joshi</t>
  </si>
  <si>
    <t>Apekshya Bam</t>
  </si>
  <si>
    <t>Dasarath Ayer</t>
  </si>
  <si>
    <t xml:space="preserve">Saugat Gurung </t>
  </si>
  <si>
    <t>Soniya Sharma</t>
  </si>
  <si>
    <t>Aayush Pradhan</t>
  </si>
  <si>
    <t>Swayam Ghimire</t>
  </si>
  <si>
    <t>Dipak Raj Giri</t>
  </si>
  <si>
    <t>Ashika Balami</t>
  </si>
  <si>
    <t>Dilendra Thagunna</t>
  </si>
  <si>
    <t>Rashi Bhatta</t>
  </si>
  <si>
    <t>Love Sainju</t>
  </si>
  <si>
    <t>Paru Maharjan</t>
  </si>
  <si>
    <t>Dipesh Kayastha</t>
  </si>
  <si>
    <t>Performance &amp; Ranking Insights</t>
  </si>
  <si>
    <t>Live view of all numeric sprint scores on the Compile Sheet (RUN and N/A excluded). Updates automatically as new sprints are entered.</t>
  </si>
  <si>
    <t>Resources</t>
  </si>
  <si>
    <t>Overall Avg</t>
  </si>
  <si>
    <t>Latest Sprint</t>
  </si>
  <si>
    <t>Latest Sprint Avg</t>
  </si>
  <si>
    <t>Latest Coverage</t>
  </si>
  <si>
    <t>Min Sprints for Top 10</t>
  </si>
  <si>
    <t>Team Summary</t>
  </si>
  <si>
    <t>Designation Summary</t>
  </si>
  <si>
    <t>Sprint Trend</t>
  </si>
  <si>
    <t>People</t>
  </si>
  <si>
    <t>Score Obs</t>
  </si>
  <si>
    <t>Weighted Avg</t>
  </si>
  <si>
    <t>Rank</t>
  </si>
  <si>
    <t>Sprint</t>
  </si>
  <si>
    <t>Participants</t>
  </si>
  <si>
    <t>Top 10 Performers (min sprints per F5)</t>
  </si>
  <si>
    <t>#</t>
  </si>
  <si>
    <t>Interpretation</t>
  </si>
  <si>
    <t>Compile Sheet Name</t>
  </si>
  <si>
    <t>Sprints in average</t>
  </si>
  <si>
    <t>Bimal Sharma - Team Lead</t>
  </si>
  <si>
    <t xml:space="preserve">Bimal </t>
  </si>
  <si>
    <t>Latest sprint</t>
  </si>
  <si>
    <t>Ram Chandra Dahal - SSE</t>
  </si>
  <si>
    <t>From sprint</t>
  </si>
  <si>
    <t>Anish Gho Shrestha- SE</t>
  </si>
  <si>
    <t>Window</t>
  </si>
  <si>
    <t>Dipak Raj Giri- ASE</t>
  </si>
  <si>
    <t>Apekshya Bam - Ass. QA</t>
  </si>
  <si>
    <t>Ramita Shrestha - ASE BA</t>
  </si>
  <si>
    <t>B.K. Krishna Magar - SSE</t>
  </si>
  <si>
    <t>Sanjay Khadka- Team Lead</t>
  </si>
  <si>
    <t>Aayush Puri- SE</t>
  </si>
  <si>
    <t>Sanjay</t>
  </si>
  <si>
    <t>Prajjwal Pandey - SE Data Engineer</t>
  </si>
  <si>
    <t>Swayam Ghimire- ASE</t>
  </si>
  <si>
    <t>Aayush Pradhan- ASE</t>
  </si>
  <si>
    <t>Niva Rani Awale- ASE BA</t>
  </si>
  <si>
    <t xml:space="preserve">Bikash Bhandari - Team Lead </t>
  </si>
  <si>
    <t>Dhangadhi</t>
  </si>
  <si>
    <t>Ankit Belal - SE</t>
  </si>
  <si>
    <t>Dashrath Ayer- ASE</t>
  </si>
  <si>
    <t>Santosh Upadhyay- ASE</t>
  </si>
  <si>
    <t>Bishal Joshi- ASE Mobile</t>
  </si>
  <si>
    <t>Surya Joshi - ASE QA</t>
  </si>
  <si>
    <t>Dharma Raj Gurung- Team Lead</t>
  </si>
  <si>
    <t>Nirjal Dahal - SSE</t>
  </si>
  <si>
    <t>Sagar Maharjan- SE</t>
  </si>
  <si>
    <t>Suyog Acharya - SE</t>
  </si>
  <si>
    <t>Susmita Parajuli - SE QA</t>
  </si>
  <si>
    <t>Abhinash Neupane- SSE</t>
  </si>
  <si>
    <t xml:space="preserve">RUN </t>
  </si>
  <si>
    <t>Rashik Shrestha - SE</t>
  </si>
  <si>
    <t>Jeevan Joshi - SE</t>
  </si>
  <si>
    <t>Diplov Khatri - ASE</t>
  </si>
  <si>
    <t xml:space="preserve">Bishal Pilla Shrestha- Team Lead </t>
  </si>
  <si>
    <t>Bravo</t>
  </si>
  <si>
    <t>Anuj Jhyari Magar - SSE</t>
  </si>
  <si>
    <t>Aashish Katwal -SE</t>
  </si>
  <si>
    <t>Sheerya Shakya -SE QA</t>
  </si>
  <si>
    <t>Saugat Gurung- ASE</t>
  </si>
  <si>
    <t>Saugat Gurung</t>
  </si>
  <si>
    <t>Shishir Sharma Upadhyay ASE - QA</t>
  </si>
  <si>
    <t>Susan Mool - Sr. Designer</t>
  </si>
  <si>
    <t>Design</t>
  </si>
  <si>
    <t>Sayara Dangol - SE Designer</t>
  </si>
  <si>
    <t xml:space="preserve">Niba Tandukar- Team Lead </t>
  </si>
  <si>
    <t>Ravi Gupta- Sr. DevOps</t>
  </si>
  <si>
    <t>Sajjan Khanal- SE DevOps</t>
  </si>
  <si>
    <t>Mandip Thapa - SE DBA</t>
  </si>
  <si>
    <t>Soniya Sharma- ASE DevOps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</si>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</sst>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color rgb="FF000000"/>
      <name val="Calibri"/>
    </font>
    <font>
      <sz val="11"/>
      <color rgb="FF0000FF"/>
      <name val="Aptos Narrow"/>
      <family val="2"/>
      <scheme val="minor"/>
    </font>
    <font>
      <sz val="11"/>
      <color theme="1"/>
      <name val="Calibri"/>
    </font>
    <font>
      <b/>
      <sz val="16"/>
      <color rgb="FF1F3864"/>
      <name val="Calibri"/>
    </font>
    <font>
      <i/>
      <sz val="11"/>
      <color rgb="FF595959"/>
      <name val="Calibri"/>
    </font>
    <font>
      <b/>
      <sz val="12"/>
      <color rgb="FF1F3864"/>
      <name val="Calibri"/>
    </font>
    <font>
      <b/>
      <sz val="11"/>
      <color rgb="FFFFFFFF"/>
      <name val="Calibri"/>
    </font>
    <font>
      <b/>
      <sz val="14"/>
      <color theme="1"/>
      <name val="Calibri"/>
    </font>
    <font>
      <b/>
      <sz val="14"/>
      <color rgb="FF0000FF"/>
      <name val="Calibri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Times New Roman"/>
    </font>
    <font>
      <sz val="10"/>
      <color theme="1"/>
      <name val="Times"/>
    </font>
    <font>
      <sz val="10"/>
      <color theme="1"/>
      <name val="Times New Roman"/>
    </font>
    <font>
      <sz val="10"/>
      <color theme="1"/>
      <name val="Arial"/>
      <scheme val="minor"/>
    </font>
    <font>
      <b/>
      <sz val="10"/>
      <color theme="1"/>
      <name val="Times"/>
    </font>
    <font>
      <sz val="11"/>
      <color theme="1"/>
      <name val="Times"/>
    </font>
    <font>
      <sz val="10"/>
      <color rgb="FF000000"/>
      <name val="Times"/>
    </font>
    <font>
      <sz val="11"/>
      <color rgb="FF008000"/>
      <name val="Aptos Narrow"/>
      <family val="2"/>
      <scheme val="minor"/>
    </font>
    <font>
      <sz val="11"/>
      <color rgb="FF7F7F7F"/>
      <name val="Aptos Narrow"/>
      <family val="2"/>
      <scheme val="minor"/>
    </font>
    <font>
      <b/>
      <sz val="11"/>
      <color rgb="FF7F7F7F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12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3" fillId="3" borderId="4" xfId="0" applyFont="1" applyFill="1" applyBorder="1"/>
    <xf numFmtId="0" fontId="0" fillId="0" borderId="4" xfId="0" applyBorder="1" applyAlignment="1">
      <alignment horizontal="center"/>
    </xf>
    <xf numFmtId="0" fontId="0" fillId="0" borderId="4" xfId="0" applyBorder="1"/>
    <xf numFmtId="2" fontId="0" fillId="0" borderId="4" xfId="0" applyNumberForma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2" fontId="4" fillId="3" borderId="4" xfId="0" applyNumberFormat="1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7" borderId="6" xfId="0" applyFont="1" applyFill="1" applyBorder="1" applyAlignment="1">
      <alignment horizontal="center" wrapText="1"/>
    </xf>
    <xf numFmtId="0" fontId="12" fillId="3" borderId="6" xfId="0" applyFont="1" applyFill="1" applyBorder="1" applyAlignment="1">
      <alignment horizontal="center"/>
    </xf>
    <xf numFmtId="2" fontId="12" fillId="3" borderId="6" xfId="0" applyNumberFormat="1" applyFont="1" applyFill="1" applyBorder="1" applyAlignment="1">
      <alignment horizontal="center"/>
    </xf>
    <xf numFmtId="164" fontId="12" fillId="3" borderId="6" xfId="0" applyNumberFormat="1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4" fontId="7" fillId="0" borderId="6" xfId="0" applyNumberFormat="1" applyFont="1" applyBorder="1" applyAlignment="1">
      <alignment horizontal="center"/>
    </xf>
    <xf numFmtId="2" fontId="7" fillId="0" borderId="6" xfId="0" applyNumberFormat="1" applyFont="1" applyBorder="1" applyAlignment="1">
      <alignment horizontal="center"/>
    </xf>
    <xf numFmtId="0" fontId="14" fillId="0" borderId="0" xfId="0" applyFont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6" fillId="10" borderId="8" xfId="0" applyFont="1" applyFill="1" applyBorder="1" applyAlignment="1">
      <alignment wrapText="1"/>
    </xf>
    <xf numFmtId="0" fontId="17" fillId="11" borderId="8" xfId="0" applyFont="1" applyFill="1" applyBorder="1" applyAlignment="1">
      <alignment wrapText="1"/>
    </xf>
    <xf numFmtId="0" fontId="15" fillId="12" borderId="9" xfId="0" applyFont="1" applyFill="1" applyBorder="1" applyAlignment="1">
      <alignment horizontal="left"/>
    </xf>
    <xf numFmtId="0" fontId="18" fillId="6" borderId="10" xfId="0" applyFont="1" applyFill="1" applyBorder="1"/>
    <xf numFmtId="0" fontId="15" fillId="0" borderId="10" xfId="0" applyFont="1" applyBorder="1"/>
    <xf numFmtId="0" fontId="19" fillId="13" borderId="0" xfId="0" applyFont="1" applyFill="1"/>
    <xf numFmtId="0" fontId="20" fillId="6" borderId="11" xfId="0" applyFont="1" applyFill="1" applyBorder="1" applyAlignment="1">
      <alignment wrapText="1"/>
    </xf>
    <xf numFmtId="0" fontId="17" fillId="6" borderId="11" xfId="0" applyFont="1" applyFill="1" applyBorder="1" applyAlignment="1">
      <alignment wrapText="1"/>
    </xf>
    <xf numFmtId="0" fontId="15" fillId="0" borderId="11" xfId="0" applyFont="1" applyBorder="1"/>
    <xf numFmtId="0" fontId="17" fillId="6" borderId="8" xfId="0" applyFont="1" applyFill="1" applyBorder="1" applyAlignment="1">
      <alignment wrapText="1"/>
    </xf>
    <xf numFmtId="0" fontId="15" fillId="11" borderId="8" xfId="0" applyFont="1" applyFill="1" applyBorder="1"/>
    <xf numFmtId="0" fontId="15" fillId="12" borderId="8" xfId="0" applyFont="1" applyFill="1" applyBorder="1" applyAlignment="1">
      <alignment horizontal="left"/>
    </xf>
    <xf numFmtId="0" fontId="20" fillId="6" borderId="8" xfId="0" applyFont="1" applyFill="1" applyBorder="1" applyAlignment="1">
      <alignment wrapText="1"/>
    </xf>
    <xf numFmtId="0" fontId="21" fillId="0" borderId="8" xfId="0" applyFont="1" applyBorder="1"/>
    <xf numFmtId="0" fontId="15" fillId="0" borderId="8" xfId="0" applyFont="1" applyBorder="1" applyAlignment="1">
      <alignment horizontal="left"/>
    </xf>
    <xf numFmtId="0" fontId="21" fillId="11" borderId="8" xfId="0" applyFont="1" applyFill="1" applyBorder="1"/>
    <xf numFmtId="0" fontId="15" fillId="12" borderId="8" xfId="0" applyFont="1" applyFill="1" applyBorder="1"/>
    <xf numFmtId="0" fontId="0" fillId="0" borderId="8" xfId="0" applyBorder="1"/>
    <xf numFmtId="0" fontId="22" fillId="10" borderId="8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6" fillId="8" borderId="0" xfId="0" applyFont="1" applyFill="1" applyAlignment="1">
      <alignment horizontal="left"/>
    </xf>
    <xf numFmtId="0" fontId="23" fillId="0" borderId="0" xfId="0" applyFont="1" applyAlignment="1">
      <alignment horizontal="left"/>
    </xf>
    <xf numFmtId="0" fontId="0" fillId="0" borderId="0" xfId="0" applyAlignment="1">
      <alignment horizontal="left"/>
    </xf>
    <xf numFmtId="0" fontId="24" fillId="0" borderId="0" xfId="0" applyFont="1"/>
    <xf numFmtId="0" fontId="25" fillId="0" borderId="0" xfId="0" applyFont="1"/>
    <xf numFmtId="2" fontId="24" fillId="0" borderId="0" xfId="0" applyNumberFormat="1" applyFont="1"/>
    <xf numFmtId="1" fontId="0" fillId="0" borderId="0" xfId="0" applyNumberFormat="1"/>
    <xf numFmtId="1" fontId="24" fillId="0" borderId="0" xfId="0" applyNumberFormat="1" applyFont="1"/>
    <xf numFmtId="0" fontId="1" fillId="5" borderId="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7" fillId="9" borderId="0" xfId="0" applyFont="1" applyFill="1" applyAlignment="1">
      <alignment vertical="top" wrapText="1"/>
    </xf>
    <xf numFmtId="0" fontId="7" fillId="9" borderId="0" xfId="0" applyFont="1" applyFill="1" applyAlignment="1"/>
  </cellXfs>
  <cellStyles count="1">
    <cellStyle name="Normal" xfId="0" builtinId="0"/>
  </cellStyles>
  <dxfs count="2"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Team Performance (All Scored Sprints)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'Performance Insights'!$B$9</c:f>
              <c:strCache>
                <c:ptCount val="1"/>
                <c:pt idx="0">
                  <c:v>People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Insights'!$A$10:$A$17</c:f>
              <c:strCache>
                <c:ptCount val="8"/>
                <c:pt idx="0">
                  <c:v>DevOps</c:v>
                </c:pt>
                <c:pt idx="1">
                  <c:v>Run Team</c:v>
                </c:pt>
                <c:pt idx="2">
                  <c:v>Team Bravo</c:v>
                </c:pt>
                <c:pt idx="3">
                  <c:v>Team Sanjay</c:v>
                </c:pt>
                <c:pt idx="4">
                  <c:v>Team Bimal</c:v>
                </c:pt>
                <c:pt idx="5">
                  <c:v>AI Team</c:v>
                </c:pt>
                <c:pt idx="6">
                  <c:v>Blaze Warrior</c:v>
                </c:pt>
                <c:pt idx="7">
                  <c:v>Team Dhangadhi</c:v>
                </c:pt>
              </c:strCache>
            </c:strRef>
          </c:cat>
          <c:val>
            <c:numRef>
              <c:f>'Performance Insights'!$B$10:$B$17</c:f>
              <c:numCache>
                <c:formatCode>General</c:formatCode>
                <c:ptCount val="8"/>
                <c:pt idx="0">
                  <c:v>7</c:v>
                </c:pt>
                <c:pt idx="1">
                  <c:v>5</c:v>
                </c:pt>
                <c:pt idx="2">
                  <c:v>8</c:v>
                </c:pt>
                <c:pt idx="3">
                  <c:v>6</c:v>
                </c:pt>
                <c:pt idx="4">
                  <c:v>7</c:v>
                </c:pt>
                <c:pt idx="5">
                  <c:v>3</c:v>
                </c:pt>
                <c:pt idx="6">
                  <c:v>6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6-4431-871D-BDBA5C8E2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623687"/>
        <c:axId val="183649287"/>
      </c:barChart>
      <c:catAx>
        <c:axId val="183623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49287"/>
        <c:crosses val="autoZero"/>
        <c:auto val="1"/>
        <c:lblAlgn val="ctr"/>
        <c:lblOffset val="100"/>
        <c:noMultiLvlLbl val="0"/>
      </c:catAx>
      <c:valAx>
        <c:axId val="183649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23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Recent Sprint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'Performance Insights'!$L$9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'Performance Insights'!$K$10:$K$12</c:f>
              <c:numCache>
                <c:formatCode>0.00</c:formatCode>
                <c:ptCount val="3"/>
                <c:pt idx="0">
                  <c:v>8.040481927710843</c:v>
                </c:pt>
                <c:pt idx="1">
                  <c:v>7.8157608695652181</c:v>
                </c:pt>
                <c:pt idx="2">
                  <c:v>7.7851595744680857</c:v>
                </c:pt>
              </c:numCache>
            </c:numRef>
          </c:cat>
          <c:val>
            <c:numRef>
              <c:f>'Performance Insights'!$L$10:$L$12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43-433D-B4F8-2DB0F44D3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59111"/>
        <c:axId val="198961671"/>
      </c:lineChart>
      <c:catAx>
        <c:axId val="19895911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61671"/>
        <c:crosses val="autoZero"/>
        <c:auto val="1"/>
        <c:lblAlgn val="ctr"/>
        <c:lblOffset val="100"/>
        <c:noMultiLvlLbl val="0"/>
      </c:catAx>
      <c:valAx>
        <c:axId val="198961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59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2" name="Team Weighted Average">
          <a:extLst>
            <a:ext uri="{FF2B5EF4-FFF2-40B4-BE49-F238E27FC236}">
              <a16:creationId xmlns:a16="http://schemas.microsoft.com/office/drawing/2014/main" id="{DAB8A6D1-A86F-FDE3-6364-DC9FF2FF5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36</xdr:row>
      <xdr:rowOff>0</xdr:rowOff>
    </xdr:to>
    <xdr:graphicFrame macro="">
      <xdr:nvGraphicFramePr>
        <xdr:cNvPr id="3" name="Recent Sprint Trend">
          <a:extLst>
            <a:ext uri="{FF2B5EF4-FFF2-40B4-BE49-F238E27FC236}">
              <a16:creationId xmlns:a16="http://schemas.microsoft.com/office/drawing/2014/main" id="{67213CA8-A2BB-C658-B207-F469135830AA}"/>
            </a:ext>
            <a:ext uri="{147F2762-F138-4A5C-976F-8EAC2B608ADB}">
              <a16:predDERef xmlns:a16="http://schemas.microsoft.com/office/drawing/2014/main" pred="{DAB8A6D1-A86F-FDE3-6364-DC9FF2FF5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ailesh_cloudtechservice_com/Documents/KPI/REPORTS/KPI%20REPORTS%20(Sprint%20138).xlsx" TargetMode="External"/><Relationship Id="rId2" Type="http://schemas.openxmlformats.org/officeDocument/2006/relationships/externalLinkPath" Target="https://chatcloudtechservice-my.sharepoint.com/personal/sailesh_cloudtechservice_com/Documents/KPI/REPORTS/KPI%20REPORTS%20(Sprint%20138).xlsx" TargetMode="External"/><Relationship Id="rId1" Type="http://schemas.openxmlformats.org/officeDocument/2006/relationships/externalLinkPath" Target="/personal/sailesh_cloudtechservice_com/Documents/KPI/REPORTS/KPI%20REPORTS%20(Sprint%2013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-unqIhvim0SWKiHeFxXRYBpp4VIdW3VCgiw_aTJ5Ua-4bCMdz7UUS7tXtAKcepAN" itemId="01ZQ5SPUMYT6N35SRDLJCITETPYTQKELGS">
      <xxl21:absoluteUrl r:id="rId2"/>
      <xxl21:relativeUrl r:id="rId3"/>
    </xxl21:alternateUrls>
    <sheetNames>
      <sheetName val="Team Bimal"/>
      <sheetName val="Team Dharma"/>
      <sheetName val="UI Team"/>
      <sheetName val="Run Team"/>
      <sheetName val="Team Bravo"/>
      <sheetName val="AI Team"/>
      <sheetName val="DevOps"/>
      <sheetName val="Team Bikash"/>
      <sheetName val="Team Sanjay"/>
      <sheetName val="Overall"/>
    </sheetNames>
    <sheetDataSet>
      <sheetData sheetId="0">
        <row r="2">
          <cell r="C2">
            <v>8.33</v>
          </cell>
        </row>
        <row r="3">
          <cell r="C3">
            <v>9</v>
          </cell>
        </row>
        <row r="4">
          <cell r="C4">
            <v>6.75</v>
          </cell>
        </row>
        <row r="5">
          <cell r="C5">
            <v>6</v>
          </cell>
        </row>
        <row r="6">
          <cell r="C6">
            <v>6</v>
          </cell>
        </row>
        <row r="7">
          <cell r="C7">
            <v>9.4</v>
          </cell>
        </row>
        <row r="8">
          <cell r="C8">
            <v>9.6999999999999993</v>
          </cell>
        </row>
      </sheetData>
      <sheetData sheetId="1">
        <row r="2">
          <cell r="C2">
            <v>8.67</v>
          </cell>
        </row>
        <row r="3">
          <cell r="C3">
            <v>8.67</v>
          </cell>
        </row>
        <row r="4">
          <cell r="C4">
            <v>8.6300000000000008</v>
          </cell>
        </row>
        <row r="5">
          <cell r="C5">
            <v>7</v>
          </cell>
        </row>
        <row r="6">
          <cell r="C6">
            <v>7</v>
          </cell>
        </row>
      </sheetData>
      <sheetData sheetId="2">
        <row r="2">
          <cell r="C2">
            <v>8.67</v>
          </cell>
        </row>
        <row r="3">
          <cell r="C3">
            <v>9.0399999999999991</v>
          </cell>
        </row>
      </sheetData>
      <sheetData sheetId="3">
        <row r="2">
          <cell r="C2">
            <v>9.4</v>
          </cell>
        </row>
        <row r="3">
          <cell r="C3">
            <v>8.33</v>
          </cell>
        </row>
        <row r="4">
          <cell r="C4">
            <v>9.4</v>
          </cell>
        </row>
        <row r="5">
          <cell r="C5">
            <v>9</v>
          </cell>
        </row>
        <row r="6">
          <cell r="C6">
            <v>8.67</v>
          </cell>
        </row>
      </sheetData>
      <sheetData sheetId="4">
        <row r="2">
          <cell r="C2">
            <v>8.67</v>
          </cell>
        </row>
        <row r="3">
          <cell r="C3">
            <v>9.8000000000000007</v>
          </cell>
        </row>
        <row r="4">
          <cell r="C4">
            <v>8.9499999999999993</v>
          </cell>
        </row>
        <row r="5">
          <cell r="C5">
            <v>10</v>
          </cell>
        </row>
        <row r="6">
          <cell r="C6">
            <v>8.67</v>
          </cell>
        </row>
        <row r="7">
          <cell r="C7">
            <v>8.33</v>
          </cell>
        </row>
        <row r="8">
          <cell r="C8">
            <v>8.52</v>
          </cell>
        </row>
      </sheetData>
      <sheetData sheetId="5">
        <row r="2">
          <cell r="C2">
            <v>10</v>
          </cell>
        </row>
        <row r="3">
          <cell r="C3">
            <v>9.1999999999999993</v>
          </cell>
        </row>
      </sheetData>
      <sheetData sheetId="6">
        <row r="2">
          <cell r="C2">
            <v>10</v>
          </cell>
        </row>
        <row r="3">
          <cell r="C3">
            <v>9</v>
          </cell>
        </row>
        <row r="4">
          <cell r="C4">
            <v>9.1999999999999993</v>
          </cell>
        </row>
        <row r="5">
          <cell r="C5">
            <v>9.1999999999999993</v>
          </cell>
        </row>
        <row r="6">
          <cell r="C6">
            <v>9</v>
          </cell>
        </row>
        <row r="7">
          <cell r="C7">
            <v>6.5</v>
          </cell>
        </row>
      </sheetData>
      <sheetData sheetId="7">
        <row r="2">
          <cell r="C2">
            <v>9.1999999999999993</v>
          </cell>
        </row>
        <row r="3">
          <cell r="C3">
            <v>6.5</v>
          </cell>
        </row>
        <row r="4">
          <cell r="C4">
            <v>7</v>
          </cell>
        </row>
        <row r="5">
          <cell r="C5">
            <v>8.67</v>
          </cell>
        </row>
        <row r="6">
          <cell r="C6">
            <v>8.67</v>
          </cell>
        </row>
        <row r="7">
          <cell r="C7">
            <v>6.5</v>
          </cell>
        </row>
        <row r="8">
          <cell r="C8">
            <v>7</v>
          </cell>
        </row>
      </sheetData>
      <sheetData sheetId="8">
        <row r="2">
          <cell r="C2">
            <v>9.8000000000000007</v>
          </cell>
        </row>
        <row r="3">
          <cell r="C3">
            <v>9</v>
          </cell>
        </row>
        <row r="4">
          <cell r="C4">
            <v>8.33</v>
          </cell>
        </row>
        <row r="5">
          <cell r="C5">
            <v>6.5</v>
          </cell>
        </row>
        <row r="6">
          <cell r="C6">
            <v>8.33</v>
          </cell>
        </row>
        <row r="7">
          <cell r="C7">
            <v>7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D302A9-F7DB-4AE2-9E4A-DDE40AD45AE7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150524a4-4cfc-4d0d-8958-120329d4bd9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B4FE-E95E-4D0C-8143-28C4112D7254}">
  <dimension ref="A1:AS57"/>
  <sheetViews>
    <sheetView tabSelected="1" workbookViewId="0">
      <pane xSplit="2" ySplit="1" topLeftCell="K2" activePane="bottomRight" state="frozen"/>
      <selection pane="bottomRight" activeCell="U53" sqref="U53"/>
      <selection pane="bottomLeft"/>
      <selection pane="topRight"/>
    </sheetView>
  </sheetViews>
  <sheetFormatPr defaultRowHeight="15"/>
  <cols>
    <col min="1" max="1" width="4.7109375" customWidth="1"/>
    <col min="2" max="2" width="22.85546875" customWidth="1"/>
    <col min="3" max="3" width="17.140625" customWidth="1"/>
    <col min="4" max="4" width="14.28515625" customWidth="1"/>
    <col min="5" max="24" width="8" customWidth="1"/>
    <col min="25" max="25" width="10.42578125" customWidth="1"/>
    <col min="26" max="26" width="11.42578125" customWidth="1"/>
    <col min="27" max="27" width="2.85546875" customWidth="1"/>
    <col min="28" max="28" width="5.7109375" customWidth="1"/>
    <col min="29" max="29" width="22.85546875" customWidth="1"/>
    <col min="30" max="30" width="15.28515625" customWidth="1"/>
    <col min="31" max="31" width="9.5703125" customWidth="1"/>
    <col min="32" max="33" width="13.28515625" customWidth="1"/>
    <col min="34" max="34" width="16.140625" customWidth="1"/>
    <col min="35" max="35" width="2.85546875" customWidth="1"/>
    <col min="37" max="37" width="18.5703125" bestFit="1" customWidth="1"/>
    <col min="38" max="38" width="11.7109375" bestFit="1" customWidth="1"/>
    <col min="39" max="39" width="15.5703125" bestFit="1" customWidth="1"/>
    <col min="41" max="42" width="18.140625" customWidth="1"/>
    <col min="43" max="43" width="2.85546875" customWidth="1"/>
    <col min="44" max="44" width="20.28515625" bestFit="1" customWidth="1"/>
    <col min="45" max="45" width="13.7109375" bestFit="1" customWidth="1"/>
  </cols>
  <sheetData>
    <row r="1" spans="1:45" ht="20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B1" s="62" t="s">
        <v>26</v>
      </c>
      <c r="AC1" s="62"/>
      <c r="AD1" s="62"/>
      <c r="AE1" s="62"/>
      <c r="AF1" s="62"/>
      <c r="AG1" s="62"/>
      <c r="AH1" s="62"/>
      <c r="AJ1" s="62" t="str">
        <f>"Last "&amp;Sheet1!$G$1&amp;" Sprints Rankings ("&amp;Sheet1!$G$4&amp;")"</f>
        <v>Last 6 Sprints Rankings (S133 – S138)</v>
      </c>
      <c r="AK1" s="62"/>
      <c r="AL1" s="62"/>
      <c r="AM1" s="62"/>
      <c r="AN1" s="62"/>
      <c r="AO1" s="62"/>
      <c r="AP1" s="62"/>
      <c r="AR1" s="57" t="s">
        <v>27</v>
      </c>
      <c r="AS1" s="57"/>
    </row>
    <row r="2" spans="1:45">
      <c r="A2" s="1"/>
      <c r="AB2" s="4" t="s">
        <v>0</v>
      </c>
      <c r="AC2" s="4" t="s">
        <v>28</v>
      </c>
      <c r="AD2" s="4" t="s">
        <v>3</v>
      </c>
      <c r="AE2" s="4" t="s">
        <v>29</v>
      </c>
      <c r="AF2" s="4" t="s">
        <v>30</v>
      </c>
      <c r="AG2" s="4" t="s">
        <v>31</v>
      </c>
      <c r="AH2" s="4" t="s">
        <v>32</v>
      </c>
      <c r="AJ2" s="4" t="s">
        <v>0</v>
      </c>
      <c r="AK2" s="4" t="s">
        <v>28</v>
      </c>
      <c r="AL2" s="4" t="s">
        <v>3</v>
      </c>
      <c r="AM2" s="4" t="s">
        <v>33</v>
      </c>
      <c r="AN2" s="4" t="s">
        <v>29</v>
      </c>
      <c r="AO2" s="4" t="s">
        <v>31</v>
      </c>
      <c r="AP2" s="4" t="s">
        <v>32</v>
      </c>
      <c r="AR2" s="58" t="s">
        <v>34</v>
      </c>
      <c r="AS2" s="58" t="s">
        <v>35</v>
      </c>
    </row>
    <row r="3" spans="1:45">
      <c r="A3" s="9"/>
      <c r="B3" s="5" t="s">
        <v>36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B3" s="63" t="s">
        <v>36</v>
      </c>
      <c r="AC3" s="64"/>
      <c r="AD3" s="64"/>
      <c r="AE3" s="64"/>
      <c r="AF3" s="64"/>
      <c r="AG3" s="64"/>
      <c r="AH3" s="65"/>
      <c r="AJ3" s="63" t="s">
        <v>36</v>
      </c>
      <c r="AK3" s="64"/>
      <c r="AL3" s="64"/>
      <c r="AM3" s="64"/>
      <c r="AN3" s="64"/>
      <c r="AO3" s="64"/>
      <c r="AP3" s="65"/>
      <c r="AR3" s="57"/>
      <c r="AS3" s="57"/>
    </row>
    <row r="4" spans="1:45">
      <c r="A4" s="6">
        <v>1</v>
      </c>
      <c r="B4" s="7" t="s">
        <v>37</v>
      </c>
      <c r="C4" s="7" t="s">
        <v>38</v>
      </c>
      <c r="D4" s="6" t="s">
        <v>39</v>
      </c>
      <c r="E4" s="8" t="s">
        <v>40</v>
      </c>
      <c r="F4" s="8" t="s">
        <v>40</v>
      </c>
      <c r="G4" s="8" t="s">
        <v>40</v>
      </c>
      <c r="H4" s="8">
        <v>10</v>
      </c>
      <c r="I4" s="8">
        <v>9.1999999999999993</v>
      </c>
      <c r="J4" s="8">
        <v>9</v>
      </c>
      <c r="K4" s="8">
        <v>9</v>
      </c>
      <c r="L4" s="8">
        <v>10</v>
      </c>
      <c r="M4" s="8">
        <v>8.33</v>
      </c>
      <c r="N4" s="8">
        <v>8.67</v>
      </c>
      <c r="O4" s="8">
        <v>9.4</v>
      </c>
      <c r="P4" s="8">
        <v>8.67</v>
      </c>
      <c r="Q4" s="8">
        <v>8.67</v>
      </c>
      <c r="R4" s="8">
        <v>6</v>
      </c>
      <c r="S4" s="8">
        <v>9.1999999999999993</v>
      </c>
      <c r="T4" s="8">
        <v>9.6</v>
      </c>
      <c r="U4" s="8">
        <f>'[1]Team Bravo'!C6</f>
        <v>8.67</v>
      </c>
      <c r="V4" s="8"/>
      <c r="W4" s="8"/>
      <c r="X4" s="8"/>
      <c r="Y4" s="8">
        <f>SUM(E4:X4)</f>
        <v>124.41000000000001</v>
      </c>
      <c r="Z4" s="8">
        <f>IFERROR(AVERAGE(E4:X4),"-")</f>
        <v>8.8864285714285725</v>
      </c>
      <c r="AB4" s="6">
        <v>1</v>
      </c>
      <c r="AC4" s="7" t="str" cm="1">
        <f t="array" ref="AC4">INDEX(_xlfn.SORTBY($B$4:$B$9,IF(ISNUMBER($Z$4:$Z$9),$Z$4:$Z$9,-1),-1,$Y$4:$Y$9,-1),$AB4)</f>
        <v>Niba Tandukar</v>
      </c>
      <c r="AD4" s="6" t="str">
        <f>INDEX($D$4:$D$9,MATCH($AC4,$B$4:$B$9,0))</f>
        <v>Team Lead</v>
      </c>
      <c r="AE4" s="11">
        <f>COUNT(INDEX($E$4:$X$9,MATCH($AC4,$B$4:$B$9,0),0))</f>
        <v>10</v>
      </c>
      <c r="AF4" s="8">
        <f>INDEX($Y$4:$Y$9,MATCH($AC4,$B$4:$B$9,0))</f>
        <v>95.259999999999991</v>
      </c>
      <c r="AG4" s="8">
        <f>INDEX($Z$4:$Z$9,MATCH($AC4,$B$4:$B$9,0))</f>
        <v>9.5259999999999998</v>
      </c>
      <c r="AH4" s="11">
        <f>RANK(AG4,$AG$4:$AG$57,0)</f>
        <v>4</v>
      </c>
      <c r="AJ4" s="6">
        <v>1</v>
      </c>
      <c r="AK4" s="7" t="str" cm="1">
        <f t="array" aca="1" ref="AK4" ca="1">INDEX(_xlfn.SORTBY($B$4:$B$9,IF(ISNUMBER($AR$4:$AR$9),$AR$4:$AR$9,-1),-1,$AS$4:$AS$9,-1),$AJ4)</f>
        <v>Niba Tandukar</v>
      </c>
      <c r="AL4" s="6" t="str">
        <f ca="1">INDEX($D$4:$D$9,MATCH($AK4,$B$4:$B$9,0))</f>
        <v>Team Lead</v>
      </c>
      <c r="AM4" s="11" t="str">
        <f ca="1">INDEX($C$4:$C$9,MATCH($AK4,$B$4:$B$9,0))</f>
        <v>DevOps</v>
      </c>
      <c r="AN4" s="11">
        <f ca="1">INDEX($AS$4:$AS$9,MATCH($AK4,$B$4:$B$9,0))</f>
        <v>6</v>
      </c>
      <c r="AO4" s="8">
        <f ca="1">INDEX($AR$4:$AR$9,MATCH($AK4,$B$4:$B$9,0))</f>
        <v>9.5216666666666683</v>
      </c>
      <c r="AP4" s="11">
        <f ca="1">IF(ISNUMBER(AO4),RANK(AO4,$AO$4:$AO$57,0),"-")</f>
        <v>5</v>
      </c>
      <c r="AR4" s="59">
        <f ca="1">IF(ISNUMBER($A4),IFERROR(AVERAGE(INDEX($E4:$X4,MATCH(Sheet1!$G$3,$E$1:$X$1,0)):INDEX($E4:$X4,MATCH(Sheet1!$G$2,$E$1:$X$1,0))),"-"),"")</f>
        <v>8.4683333333333337</v>
      </c>
      <c r="AS4" s="61">
        <f ca="1">IF(ISNUMBER($A4),COUNT(INDEX($E4:$X4,MATCH(Sheet1!$G$3,$E$1:$X$1,0)):INDEX($E4:$X4,MATCH(Sheet1!$G$2,$E$1:$X$1,0))),"")</f>
        <v>6</v>
      </c>
    </row>
    <row r="5" spans="1:45">
      <c r="A5" s="6">
        <v>2</v>
      </c>
      <c r="B5" s="7" t="s">
        <v>41</v>
      </c>
      <c r="C5" s="7" t="s">
        <v>42</v>
      </c>
      <c r="D5" s="6" t="s">
        <v>39</v>
      </c>
      <c r="E5" s="8" t="s">
        <v>43</v>
      </c>
      <c r="F5" s="8" t="s">
        <v>43</v>
      </c>
      <c r="G5" s="8" t="s">
        <v>43</v>
      </c>
      <c r="H5" s="8" t="s">
        <v>43</v>
      </c>
      <c r="I5" s="8" t="s">
        <v>43</v>
      </c>
      <c r="J5" s="8" t="s">
        <v>43</v>
      </c>
      <c r="K5" s="8" t="s">
        <v>43</v>
      </c>
      <c r="L5" s="8">
        <v>8.33</v>
      </c>
      <c r="M5" s="8">
        <v>10</v>
      </c>
      <c r="N5" s="8">
        <v>10</v>
      </c>
      <c r="O5" s="8">
        <v>9.8000000000000007</v>
      </c>
      <c r="P5" s="8">
        <v>8.33</v>
      </c>
      <c r="Q5" s="8">
        <v>9.8000000000000007</v>
      </c>
      <c r="R5" s="8">
        <v>10</v>
      </c>
      <c r="S5" s="13">
        <v>9.8000000000000007</v>
      </c>
      <c r="T5" s="8">
        <v>9.1999999999999993</v>
      </c>
      <c r="U5" s="8">
        <f>[1]DevOps!C2</f>
        <v>10</v>
      </c>
      <c r="V5" s="8"/>
      <c r="W5" s="8"/>
      <c r="X5" s="8"/>
      <c r="Y5" s="8">
        <f>SUM(E5:X5)</f>
        <v>95.259999999999991</v>
      </c>
      <c r="Z5" s="8">
        <f>IFERROR(AVERAGE(E5:X5),"-")</f>
        <v>9.5259999999999998</v>
      </c>
      <c r="AB5" s="6">
        <f>AB4+1</f>
        <v>2</v>
      </c>
      <c r="AC5" s="7" t="str" cm="1">
        <f t="array" ref="AC5">INDEX(_xlfn.SORTBY($B$4:$B$9,IF(ISNUMBER($Z$4:$Z$9),$Z$4:$Z$9,-1),-1,$Y$4:$Y$9,-1),$AB5)</f>
        <v>Bishal Stha</v>
      </c>
      <c r="AD5" s="6" t="str">
        <f>INDEX($D$4:$D$9,MATCH($AC5,$B$4:$B$9,0))</f>
        <v>Team Lead</v>
      </c>
      <c r="AE5" s="11">
        <f>COUNT(INDEX($E$4:$X$9,MATCH($AC5,$B$4:$B$9,0),0))</f>
        <v>14</v>
      </c>
      <c r="AF5" s="8">
        <f>INDEX($Y$4:$Y$9,MATCH($AC5,$B$4:$B$9,0))</f>
        <v>124.41000000000001</v>
      </c>
      <c r="AG5" s="8">
        <f>INDEX($Z$4:$Z$9,MATCH($AC5,$B$4:$B$9,0))</f>
        <v>8.8864285714285725</v>
      </c>
      <c r="AH5" s="11">
        <f>RANK(AG5,$AG$4:$AG$57,0)</f>
        <v>11</v>
      </c>
      <c r="AJ5" s="6">
        <f>AJ4+1</f>
        <v>2</v>
      </c>
      <c r="AK5" s="7" t="str" cm="1">
        <f t="array" aca="1" ref="AK5" ca="1">INDEX(_xlfn.SORTBY($B$4:$B$9,IF(ISNUMBER($AR$4:$AR$9),$AR$4:$AR$9,-1),-1,$AS$4:$AS$9,-1),$AJ5)</f>
        <v>Bishal Stha</v>
      </c>
      <c r="AL5" s="6" t="str">
        <f ca="1">INDEX($D$4:$D$9,MATCH($AK5,$B$4:$B$9,0))</f>
        <v>Team Lead</v>
      </c>
      <c r="AM5" s="11" t="str">
        <f ca="1">INDEX($C$4:$C$9,MATCH($AK5,$B$4:$B$9,0))</f>
        <v>Team Bravo</v>
      </c>
      <c r="AN5" s="11">
        <f ca="1">INDEX($AS$4:$AS$9,MATCH($AK5,$B$4:$B$9,0))</f>
        <v>6</v>
      </c>
      <c r="AO5" s="8">
        <f ca="1">INDEX($AR$4:$AR$9,MATCH($AK5,$B$4:$B$9,0))</f>
        <v>8.4683333333333337</v>
      </c>
      <c r="AP5" s="11">
        <f ca="1">IF(ISNUMBER(AO5),RANK(AO5,$AO$4:$AO$57,0),"-")</f>
        <v>29</v>
      </c>
      <c r="AR5" s="59">
        <f ca="1">IF(ISNUMBER($A5),IFERROR(AVERAGE(INDEX($E5:$X5,MATCH(Sheet1!$G$3,$E$1:$X$1,0)):INDEX($E5:$X5,MATCH(Sheet1!$G$2,$E$1:$X$1,0))),"-"),"")</f>
        <v>9.5216666666666683</v>
      </c>
      <c r="AS5" s="61">
        <f ca="1">IF(ISNUMBER($A5),COUNT(INDEX($E5:$X5,MATCH(Sheet1!$G$3,$E$1:$X$1,0)):INDEX($E5:$X5,MATCH(Sheet1!$G$2,$E$1:$X$1,0))),"")</f>
        <v>6</v>
      </c>
    </row>
    <row r="6" spans="1:45">
      <c r="A6" s="6">
        <v>3</v>
      </c>
      <c r="B6" s="7" t="s">
        <v>44</v>
      </c>
      <c r="C6" s="7" t="s">
        <v>45</v>
      </c>
      <c r="D6" s="6" t="s">
        <v>39</v>
      </c>
      <c r="E6" s="8">
        <v>10</v>
      </c>
      <c r="F6" s="8">
        <v>8.67</v>
      </c>
      <c r="G6" s="8">
        <v>6.5</v>
      </c>
      <c r="H6" s="8">
        <v>8.33</v>
      </c>
      <c r="I6" s="8">
        <v>9</v>
      </c>
      <c r="J6" s="8">
        <v>6.5</v>
      </c>
      <c r="K6" s="8">
        <v>4.6399999999999997</v>
      </c>
      <c r="L6" s="8">
        <v>9</v>
      </c>
      <c r="M6" s="8">
        <v>9</v>
      </c>
      <c r="N6" s="8">
        <v>8.33</v>
      </c>
      <c r="O6" s="8">
        <v>10</v>
      </c>
      <c r="P6" s="8">
        <v>7</v>
      </c>
      <c r="Q6" s="8">
        <v>9</v>
      </c>
      <c r="R6" s="8">
        <v>9</v>
      </c>
      <c r="S6" s="8">
        <v>8.33</v>
      </c>
      <c r="T6" s="8">
        <v>6.25</v>
      </c>
      <c r="U6" s="8">
        <f>'[1]Team Dharma'!C5</f>
        <v>7</v>
      </c>
      <c r="V6" s="8"/>
      <c r="W6" s="8"/>
      <c r="X6" s="8"/>
      <c r="Y6" s="8">
        <f>SUM(E6:X6)</f>
        <v>136.55000000000001</v>
      </c>
      <c r="Z6" s="8">
        <f>IFERROR(AVERAGE(E6:X6),"-")</f>
        <v>8.0323529411764714</v>
      </c>
      <c r="AB6" s="6">
        <f>AB5+1</f>
        <v>3</v>
      </c>
      <c r="AC6" s="7" t="str" cm="1">
        <f t="array" ref="AC6">INDEX(_xlfn.SORTBY($B$4:$B$9,IF(ISNUMBER($Z$4:$Z$9),$Z$4:$Z$9,-1),-1,$Y$4:$Y$9,-1),$AB6)</f>
        <v>Dharma Gurung</v>
      </c>
      <c r="AD6" s="6" t="str">
        <f>INDEX($D$4:$D$9,MATCH($AC6,$B$4:$B$9,0))</f>
        <v>Team Lead</v>
      </c>
      <c r="AE6" s="11">
        <f>COUNT(INDEX($E$4:$X$9,MATCH($AC6,$B$4:$B$9,0),0))</f>
        <v>17</v>
      </c>
      <c r="AF6" s="8">
        <f>INDEX($Y$4:$Y$9,MATCH($AC6,$B$4:$B$9,0))</f>
        <v>136.55000000000001</v>
      </c>
      <c r="AG6" s="8">
        <f>INDEX($Z$4:$Z$9,MATCH($AC6,$B$4:$B$9,0))</f>
        <v>8.0323529411764714</v>
      </c>
      <c r="AH6" s="11">
        <f>RANK(AG6,$AG$4:$AG$57,0)</f>
        <v>21</v>
      </c>
      <c r="AJ6" s="6">
        <f>AJ5+1</f>
        <v>3</v>
      </c>
      <c r="AK6" s="7" t="str" cm="1">
        <f t="array" aca="1" ref="AK6" ca="1">INDEX(_xlfn.SORTBY($B$4:$B$9,IF(ISNUMBER($AR$4:$AR$9),$AR$4:$AR$9,-1),-1,$AS$4:$AS$9,-1),$AJ6)</f>
        <v>Bimal Sharma</v>
      </c>
      <c r="AL6" s="6" t="str">
        <f ca="1">INDEX($D$4:$D$9,MATCH($AK6,$B$4:$B$9,0))</f>
        <v>Team Lead</v>
      </c>
      <c r="AM6" s="11" t="str">
        <f ca="1">INDEX($C$4:$C$9,MATCH($AK6,$B$4:$B$9,0))</f>
        <v>Team Bimal</v>
      </c>
      <c r="AN6" s="11">
        <f ca="1">INDEX($AS$4:$AS$9,MATCH($AK6,$B$4:$B$9,0))</f>
        <v>6</v>
      </c>
      <c r="AO6" s="8">
        <f ca="1">INDEX($AR$4:$AR$9,MATCH($AK6,$B$4:$B$9,0))</f>
        <v>7.873333333333334</v>
      </c>
      <c r="AP6" s="11">
        <f ca="1">IF(ISNUMBER(AO6),RANK(AO6,$AO$4:$AO$57,0),"-")</f>
        <v>40</v>
      </c>
      <c r="AR6" s="59">
        <f ca="1">IF(ISNUMBER($A6),IFERROR(AVERAGE(INDEX($E6:$X6,MATCH(Sheet1!$G$3,$E$1:$X$1,0)):INDEX($E6:$X6,MATCH(Sheet1!$G$2,$E$1:$X$1,0))),"-"),"")</f>
        <v>7.7633333333333328</v>
      </c>
      <c r="AS6" s="61">
        <f ca="1">IF(ISNUMBER($A6),COUNT(INDEX($E6:$X6,MATCH(Sheet1!$G$3,$E$1:$X$1,0)):INDEX($E6:$X6,MATCH(Sheet1!$G$2,$E$1:$X$1,0))),"")</f>
        <v>6</v>
      </c>
    </row>
    <row r="7" spans="1:45">
      <c r="A7" s="6">
        <v>4</v>
      </c>
      <c r="B7" s="7" t="s">
        <v>46</v>
      </c>
      <c r="C7" s="7" t="s">
        <v>47</v>
      </c>
      <c r="D7" s="6" t="s">
        <v>39</v>
      </c>
      <c r="E7" s="8">
        <v>8.67</v>
      </c>
      <c r="F7" s="8">
        <v>10</v>
      </c>
      <c r="G7" s="8">
        <v>8.67</v>
      </c>
      <c r="H7" s="8" t="s">
        <v>43</v>
      </c>
      <c r="I7" s="8">
        <v>9.4</v>
      </c>
      <c r="J7" s="8">
        <v>7</v>
      </c>
      <c r="K7" s="8">
        <v>8.33</v>
      </c>
      <c r="L7" s="8">
        <v>6</v>
      </c>
      <c r="M7" s="8">
        <v>6</v>
      </c>
      <c r="N7" s="8">
        <v>9.1999999999999993</v>
      </c>
      <c r="O7" s="8">
        <v>6.5</v>
      </c>
      <c r="P7" s="8">
        <v>8.33</v>
      </c>
      <c r="Q7" s="8">
        <v>8.33</v>
      </c>
      <c r="R7" s="8">
        <v>8.33</v>
      </c>
      <c r="S7" s="8">
        <v>6.5</v>
      </c>
      <c r="T7" s="8">
        <v>8.33</v>
      </c>
      <c r="U7" s="8">
        <f>'[1]Team Sanjay'!C5</f>
        <v>6.5</v>
      </c>
      <c r="V7" s="8"/>
      <c r="W7" s="8"/>
      <c r="X7" s="8"/>
      <c r="Y7" s="8">
        <f>SUM(E7:X7)</f>
        <v>126.08999999999999</v>
      </c>
      <c r="Z7" s="8">
        <f>IFERROR(AVERAGE(E7:X7),"-")</f>
        <v>7.8806249999999993</v>
      </c>
      <c r="AB7" s="6">
        <f>AB6+1</f>
        <v>4</v>
      </c>
      <c r="AC7" s="7" t="str" cm="1">
        <f t="array" ref="AC7">INDEX(_xlfn.SORTBY($B$4:$B$9,IF(ISNUMBER($Z$4:$Z$9),$Z$4:$Z$9,-1),-1,$Y$4:$Y$9,-1),$AB7)</f>
        <v>Sanjay Khadka</v>
      </c>
      <c r="AD7" s="6" t="str">
        <f>INDEX($D$4:$D$9,MATCH($AC7,$B$4:$B$9,0))</f>
        <v>Team Lead</v>
      </c>
      <c r="AE7" s="11">
        <f>COUNT(INDEX($E$4:$X$9,MATCH($AC7,$B$4:$B$9,0),0))</f>
        <v>16</v>
      </c>
      <c r="AF7" s="8">
        <f>INDEX($Y$4:$Y$9,MATCH($AC7,$B$4:$B$9,0))</f>
        <v>126.08999999999999</v>
      </c>
      <c r="AG7" s="8">
        <f>INDEX($Z$4:$Z$9,MATCH($AC7,$B$4:$B$9,0))</f>
        <v>7.8806249999999993</v>
      </c>
      <c r="AH7" s="11">
        <f>RANK(AG7,$AG$4:$AG$57,0)</f>
        <v>24</v>
      </c>
      <c r="AJ7" s="6">
        <f>AJ6+1</f>
        <v>4</v>
      </c>
      <c r="AK7" s="7" t="str" cm="1">
        <f t="array" aca="1" ref="AK7" ca="1">INDEX(_xlfn.SORTBY($B$4:$B$9,IF(ISNUMBER($AR$4:$AR$9),$AR$4:$AR$9,-1),-1,$AS$4:$AS$9,-1),$AJ7)</f>
        <v>Dharma Gurung</v>
      </c>
      <c r="AL7" s="6" t="str">
        <f ca="1">INDEX($D$4:$D$9,MATCH($AK7,$B$4:$B$9,0))</f>
        <v>Team Lead</v>
      </c>
      <c r="AM7" s="11" t="str">
        <f ca="1">INDEX($C$4:$C$9,MATCH($AK7,$B$4:$B$9,0))</f>
        <v>Blaze Warrior</v>
      </c>
      <c r="AN7" s="11">
        <f ca="1">INDEX($AS$4:$AS$9,MATCH($AK7,$B$4:$B$9,0))</f>
        <v>6</v>
      </c>
      <c r="AO7" s="8">
        <f ca="1">INDEX($AR$4:$AR$9,MATCH($AK7,$B$4:$B$9,0))</f>
        <v>7.7633333333333328</v>
      </c>
      <c r="AP7" s="11">
        <f ca="1">IF(ISNUMBER(AO7),RANK(AO7,$AO$4:$AO$57,0),"-")</f>
        <v>42</v>
      </c>
      <c r="AR7" s="59">
        <f ca="1">IF(ISNUMBER($A7),IFERROR(AVERAGE(INDEX($E7:$X7,MATCH(Sheet1!$G$3,$E$1:$X$1,0)):INDEX($E7:$X7,MATCH(Sheet1!$G$2,$E$1:$X$1,0))),"-"),"")</f>
        <v>7.72</v>
      </c>
      <c r="AS7" s="61">
        <f ca="1">IF(ISNUMBER($A7),COUNT(INDEX($E7:$X7,MATCH(Sheet1!$G$3,$E$1:$X$1,0)):INDEX($E7:$X7,MATCH(Sheet1!$G$2,$E$1:$X$1,0))),"")</f>
        <v>6</v>
      </c>
    </row>
    <row r="8" spans="1:45">
      <c r="A8" s="6">
        <v>5</v>
      </c>
      <c r="B8" s="7" t="s">
        <v>48</v>
      </c>
      <c r="C8" s="7" t="s">
        <v>49</v>
      </c>
      <c r="D8" s="6" t="s">
        <v>39</v>
      </c>
      <c r="E8" s="8">
        <v>6.5</v>
      </c>
      <c r="F8" s="8">
        <v>8.33</v>
      </c>
      <c r="G8" s="8">
        <v>6.54</v>
      </c>
      <c r="H8" s="8">
        <v>9.1999999999999993</v>
      </c>
      <c r="I8" s="8">
        <v>6.4</v>
      </c>
      <c r="J8" s="8">
        <v>7.03</v>
      </c>
      <c r="K8" s="8">
        <v>4.8099999999999996</v>
      </c>
      <c r="L8" s="8">
        <v>5.47</v>
      </c>
      <c r="M8" s="8">
        <v>5.47</v>
      </c>
      <c r="N8" s="8">
        <v>8.33</v>
      </c>
      <c r="O8" s="8">
        <v>8.33</v>
      </c>
      <c r="P8" s="8">
        <v>6</v>
      </c>
      <c r="Q8" s="8">
        <v>9.4</v>
      </c>
      <c r="R8" s="8">
        <v>8.67</v>
      </c>
      <c r="S8" s="13">
        <v>9</v>
      </c>
      <c r="T8" s="8">
        <v>8.17</v>
      </c>
      <c r="U8" s="8">
        <f>'[1]Team Bimal'!C5</f>
        <v>6</v>
      </c>
      <c r="V8" s="8"/>
      <c r="W8" s="8"/>
      <c r="X8" s="8"/>
      <c r="Y8" s="8">
        <f>SUM(E8:X8)</f>
        <v>123.65</v>
      </c>
      <c r="Z8" s="8">
        <f>IFERROR(AVERAGE(E8:X8),"-")</f>
        <v>7.2735294117647058</v>
      </c>
      <c r="AB8" s="6">
        <f>AB7+1</f>
        <v>5</v>
      </c>
      <c r="AC8" s="7" t="str" cm="1">
        <f t="array" ref="AC8">INDEX(_xlfn.SORTBY($B$4:$B$9,IF(ISNUMBER($Z$4:$Z$9),$Z$4:$Z$9,-1),-1,$Y$4:$Y$9,-1),$AB8)</f>
        <v>Bimal Sharma</v>
      </c>
      <c r="AD8" s="6" t="str">
        <f>INDEX($D$4:$D$9,MATCH($AC8,$B$4:$B$9,0))</f>
        <v>Team Lead</v>
      </c>
      <c r="AE8" s="11">
        <f>COUNT(INDEX($E$4:$X$9,MATCH($AC8,$B$4:$B$9,0),0))</f>
        <v>17</v>
      </c>
      <c r="AF8" s="8">
        <f>INDEX($Y$4:$Y$9,MATCH($AC8,$B$4:$B$9,0))</f>
        <v>123.65</v>
      </c>
      <c r="AG8" s="8">
        <f>INDEX($Z$4:$Z$9,MATCH($AC8,$B$4:$B$9,0))</f>
        <v>7.2735294117647058</v>
      </c>
      <c r="AH8" s="11">
        <f>RANK(AG8,$AG$4:$AG$57,0)</f>
        <v>38</v>
      </c>
      <c r="AJ8" s="6">
        <f>AJ7+1</f>
        <v>5</v>
      </c>
      <c r="AK8" s="7" t="str" cm="1">
        <f t="array" aca="1" ref="AK8" ca="1">INDEX(_xlfn.SORTBY($B$4:$B$9,IF(ISNUMBER($AR$4:$AR$9),$AR$4:$AR$9,-1),-1,$AS$4:$AS$9,-1),$AJ8)</f>
        <v>Sanjay Khadka</v>
      </c>
      <c r="AL8" s="6" t="str">
        <f ca="1">INDEX($D$4:$D$9,MATCH($AK8,$B$4:$B$9,0))</f>
        <v>Team Lead</v>
      </c>
      <c r="AM8" s="11" t="str">
        <f ca="1">INDEX($C$4:$C$9,MATCH($AK8,$B$4:$B$9,0))</f>
        <v>Team Sanjay</v>
      </c>
      <c r="AN8" s="11">
        <f ca="1">INDEX($AS$4:$AS$9,MATCH($AK8,$B$4:$B$9,0))</f>
        <v>6</v>
      </c>
      <c r="AO8" s="8">
        <f ca="1">INDEX($AR$4:$AR$9,MATCH($AK8,$B$4:$B$9,0))</f>
        <v>7.72</v>
      </c>
      <c r="AP8" s="11">
        <f ca="1">IF(ISNUMBER(AO8),RANK(AO8,$AO$4:$AO$57,0),"-")</f>
        <v>43</v>
      </c>
      <c r="AR8" s="59">
        <f ca="1">IF(ISNUMBER($A8),IFERROR(AVERAGE(INDEX($E8:$X8,MATCH(Sheet1!$G$3,$E$1:$X$1,0)):INDEX($E8:$X8,MATCH(Sheet1!$G$2,$E$1:$X$1,0))),"-"),"")</f>
        <v>7.873333333333334</v>
      </c>
      <c r="AS8" s="61">
        <f ca="1">IF(ISNUMBER($A8),COUNT(INDEX($E8:$X8,MATCH(Sheet1!$G$3,$E$1:$X$1,0)):INDEX($E8:$X8,MATCH(Sheet1!$G$2,$E$1:$X$1,0))),"")</f>
        <v>6</v>
      </c>
    </row>
    <row r="9" spans="1:45">
      <c r="A9" s="6">
        <v>6</v>
      </c>
      <c r="B9" s="7" t="s">
        <v>50</v>
      </c>
      <c r="C9" s="7" t="s">
        <v>51</v>
      </c>
      <c r="D9" s="6" t="s">
        <v>39</v>
      </c>
      <c r="E9" s="8" t="s">
        <v>43</v>
      </c>
      <c r="F9" s="8" t="s">
        <v>43</v>
      </c>
      <c r="G9" s="8" t="s">
        <v>43</v>
      </c>
      <c r="H9" s="8" t="s">
        <v>43</v>
      </c>
      <c r="I9" s="8" t="s">
        <v>43</v>
      </c>
      <c r="J9" s="8" t="s">
        <v>43</v>
      </c>
      <c r="K9" s="8" t="s">
        <v>43</v>
      </c>
      <c r="L9" s="8" t="s">
        <v>43</v>
      </c>
      <c r="M9" s="8">
        <v>6</v>
      </c>
      <c r="N9" s="8">
        <v>7</v>
      </c>
      <c r="O9" s="8">
        <v>6</v>
      </c>
      <c r="P9" s="8">
        <v>9.4</v>
      </c>
      <c r="Q9" s="8">
        <v>6.5</v>
      </c>
      <c r="R9" s="8">
        <v>6</v>
      </c>
      <c r="S9" s="8">
        <v>6.5</v>
      </c>
      <c r="T9" s="8">
        <v>7</v>
      </c>
      <c r="U9" s="8">
        <f>'[1]Team Bikash'!C8</f>
        <v>7</v>
      </c>
      <c r="V9" s="8"/>
      <c r="W9" s="8"/>
      <c r="X9" s="8"/>
      <c r="Y9" s="8">
        <f>SUM(E9:X9)</f>
        <v>61.4</v>
      </c>
      <c r="Z9" s="8">
        <f>IFERROR(AVERAGE(E9:X9),"-")</f>
        <v>6.822222222222222</v>
      </c>
      <c r="AB9" s="6">
        <f>AB8+1</f>
        <v>6</v>
      </c>
      <c r="AC9" s="7" t="str" cm="1">
        <f t="array" ref="AC9">INDEX(_xlfn.SORTBY($B$4:$B$9,IF(ISNUMBER($Z$4:$Z$9),$Z$4:$Z$9,-1),-1,$Y$4:$Y$9,-1),$AB9)</f>
        <v>Bikash Bhandari</v>
      </c>
      <c r="AD9" s="6" t="str">
        <f>INDEX($D$4:$D$9,MATCH($AC9,$B$4:$B$9,0))</f>
        <v>Team Lead</v>
      </c>
      <c r="AE9" s="11">
        <f>COUNT(INDEX($E$4:$X$9,MATCH($AC9,$B$4:$B$9,0),0))</f>
        <v>9</v>
      </c>
      <c r="AF9" s="8">
        <f>INDEX($Y$4:$Y$9,MATCH($AC9,$B$4:$B$9,0))</f>
        <v>61.4</v>
      </c>
      <c r="AG9" s="8">
        <f>INDEX($Z$4:$Z$9,MATCH($AC9,$B$4:$B$9,0))</f>
        <v>6.822222222222222</v>
      </c>
      <c r="AH9" s="11">
        <f>RANK(AG9,$AG$4:$AG$57,0)</f>
        <v>45</v>
      </c>
      <c r="AJ9" s="6">
        <f>AJ8+1</f>
        <v>6</v>
      </c>
      <c r="AK9" s="7" t="str" cm="1">
        <f t="array" aca="1" ref="AK9" ca="1">INDEX(_xlfn.SORTBY($B$4:$B$9,IF(ISNUMBER($AR$4:$AR$9),$AR$4:$AR$9,-1),-1,$AS$4:$AS$9,-1),$AJ9)</f>
        <v>Bikash Bhandari</v>
      </c>
      <c r="AL9" s="6" t="str">
        <f ca="1">INDEX($D$4:$D$9,MATCH($AK9,$B$4:$B$9,0))</f>
        <v>Team Lead</v>
      </c>
      <c r="AM9" s="11" t="str">
        <f ca="1">INDEX($C$4:$C$9,MATCH($AK9,$B$4:$B$9,0))</f>
        <v>Team Dhangadhi</v>
      </c>
      <c r="AN9" s="11">
        <f ca="1">INDEX($AS$4:$AS$9,MATCH($AK9,$B$4:$B$9,0))</f>
        <v>6</v>
      </c>
      <c r="AO9" s="8">
        <f ca="1">INDEX($AR$4:$AR$9,MATCH($AK9,$B$4:$B$9,0))</f>
        <v>7.0666666666666664</v>
      </c>
      <c r="AP9" s="11">
        <f ca="1">IF(ISNUMBER(AO9),RANK(AO9,$AO$4:$AO$57,0),"-")</f>
        <v>47</v>
      </c>
      <c r="AR9" s="59">
        <f ca="1">IF(ISNUMBER($A9),IFERROR(AVERAGE(INDEX($E9:$X9,MATCH(Sheet1!$G$3,$E$1:$X$1,0)):INDEX($E9:$X9,MATCH(Sheet1!$G$2,$E$1:$X$1,0))),"-"),"")</f>
        <v>7.0666666666666664</v>
      </c>
      <c r="AS9" s="61">
        <f ca="1">IF(ISNUMBER($A9),COUNT(INDEX($E9:$X9,MATCH(Sheet1!$G$3,$E$1:$X$1,0)):INDEX($E9:$X9,MATCH(Sheet1!$G$2,$E$1:$X$1,0))),"")</f>
        <v>6</v>
      </c>
    </row>
    <row r="10" spans="1:45">
      <c r="A10" s="9"/>
      <c r="B10" s="5" t="s">
        <v>52</v>
      </c>
      <c r="C10" s="5"/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4"/>
      <c r="T10" s="10"/>
      <c r="U10" s="10"/>
      <c r="V10" s="10"/>
      <c r="W10" s="10"/>
      <c r="X10" s="10"/>
      <c r="Y10" s="10"/>
      <c r="Z10" s="10"/>
      <c r="AB10" s="63" t="s">
        <v>52</v>
      </c>
      <c r="AC10" s="64"/>
      <c r="AD10" s="64"/>
      <c r="AE10" s="64"/>
      <c r="AF10" s="64"/>
      <c r="AG10" s="64"/>
      <c r="AH10" s="65"/>
      <c r="AJ10" s="63" t="s">
        <v>52</v>
      </c>
      <c r="AK10" s="64"/>
      <c r="AL10" s="64"/>
      <c r="AM10" s="64"/>
      <c r="AN10" s="66"/>
      <c r="AO10" s="64"/>
      <c r="AP10" s="65"/>
      <c r="AR10" s="59" t="str">
        <f>IF(ISNUMBER($A10),IFERROR(AVERAGE(INDEX($E10:$X10,MATCH(Sheet1!$G$3,$E$1:$X$1,0)):INDEX($E10:$X10,MATCH(Sheet1!$G$2,$E$1:$X$1,0))),"-"),"")</f>
        <v/>
      </c>
      <c r="AS10" s="61" t="str">
        <f>IF(ISNUMBER($A10),COUNT(INDEX($E10:$X10,MATCH(Sheet1!$G$3,$E$1:$X$1,0)):INDEX($E10:$X10,MATCH(Sheet1!$G$2,$E$1:$X$1,0))),"")</f>
        <v/>
      </c>
    </row>
    <row r="11" spans="1:45">
      <c r="A11" s="6">
        <v>1</v>
      </c>
      <c r="B11" s="7" t="s">
        <v>53</v>
      </c>
      <c r="C11" s="7" t="s">
        <v>54</v>
      </c>
      <c r="D11" s="6" t="s">
        <v>52</v>
      </c>
      <c r="E11" s="8">
        <v>6.55</v>
      </c>
      <c r="F11" s="8">
        <v>7</v>
      </c>
      <c r="G11" s="8">
        <v>6.77</v>
      </c>
      <c r="H11" s="8">
        <v>8.9</v>
      </c>
      <c r="I11" s="8">
        <v>8.33</v>
      </c>
      <c r="J11" s="8">
        <v>9</v>
      </c>
      <c r="K11" s="8">
        <v>7.02</v>
      </c>
      <c r="L11" s="8">
        <v>7.14</v>
      </c>
      <c r="M11" s="12" t="s">
        <v>43</v>
      </c>
      <c r="N11" s="12">
        <v>8.33</v>
      </c>
      <c r="O11" s="12">
        <v>9.6</v>
      </c>
      <c r="P11" s="12">
        <v>8.33</v>
      </c>
      <c r="Q11" s="8">
        <v>7</v>
      </c>
      <c r="R11" s="8">
        <v>9.1999999999999993</v>
      </c>
      <c r="S11" s="13">
        <v>8.67</v>
      </c>
      <c r="T11" s="8">
        <v>9.8000000000000007</v>
      </c>
      <c r="U11" s="8">
        <f>'[1]Team Bimal'!C8</f>
        <v>9.6999999999999993</v>
      </c>
      <c r="V11" s="8"/>
      <c r="W11" s="8"/>
      <c r="X11" s="8"/>
      <c r="Y11" s="8">
        <f>SUM(E11:X11)</f>
        <v>131.33999999999997</v>
      </c>
      <c r="Z11" s="8">
        <f>IFERROR(AVERAGE(E11:X11),"-")</f>
        <v>8.2087499999999984</v>
      </c>
      <c r="AB11" s="6">
        <v>1</v>
      </c>
      <c r="AC11" s="7" t="str" cm="1">
        <f t="array" ref="AC11">INDEX(_xlfn.SORTBY($B$11:$B$17,IF(ISNUMBER($Z$11:$Z$17),$Z$11:$Z$17,-1),-1,$Y$11:$Y$17,-1),$AB11)</f>
        <v>Susan Mool</v>
      </c>
      <c r="AD11" s="6" t="str">
        <f>INDEX($D$11:$D$17,MATCH($AC11,$B$11:$B$17,0))</f>
        <v>SSE</v>
      </c>
      <c r="AE11" s="11">
        <f>COUNT(INDEX($E$11:$X$17,MATCH($AC11,$B$11:$B$17,0),0))</f>
        <v>3</v>
      </c>
      <c r="AF11" s="8">
        <f>INDEX($Y$11:$Y$17,MATCH($AC11,$B$11:$B$17,0))</f>
        <v>27.67</v>
      </c>
      <c r="AG11" s="8">
        <f>INDEX($Z$11:$Z$17,MATCH($AC11,$B$11:$B$17,0))</f>
        <v>9.2233333333333345</v>
      </c>
      <c r="AH11" s="11">
        <f>RANK(AG11,$AG$4:$AG$57,0)</f>
        <v>5</v>
      </c>
      <c r="AJ11" s="6">
        <v>1</v>
      </c>
      <c r="AK11" s="7" t="str" cm="1">
        <f t="array" aca="1" ref="AK11" ca="1">INDEX(_xlfn.SORTBY($B$11:$B$17,IF(ISNUMBER($AR$11:$AR$17),$AR$11:$AR$17,-1),-1,$AS$11:$AS$17,-1),$AJ11)</f>
        <v>Susan Mool</v>
      </c>
      <c r="AL11" s="6" t="str">
        <f ca="1">INDEX($D$11:$D$17,MATCH($AK11,$B$11:$B$17,0))</f>
        <v>SSE</v>
      </c>
      <c r="AM11" s="11" t="str">
        <f ca="1">INDEX($C$11:$C$17,MATCH($AK11,$B$11:$B$17,0))</f>
        <v>Team Bimal</v>
      </c>
      <c r="AN11" s="11">
        <f ca="1">INDEX($AS$11:$AS$17,MATCH($AK11,$B$11:$B$17,0))</f>
        <v>3</v>
      </c>
      <c r="AO11" s="8">
        <f ca="1">INDEX($AR$11:$AR$17,MATCH($AK11,$B$11:$B$17,0))</f>
        <v>9.2233333333333345</v>
      </c>
      <c r="AP11" s="11">
        <f ca="1">IF(ISNUMBER(AO11),RANK(AO11,$AO$4:$AO$57,0),"-")</f>
        <v>7</v>
      </c>
      <c r="AR11" s="59">
        <f ca="1">IF(ISNUMBER($A11),IFERROR(AVERAGE(INDEX($E11:$X11,MATCH(Sheet1!$G$3,$E$1:$X$1,0)):INDEX($E11:$X11,MATCH(Sheet1!$G$2,$E$1:$X$1,0))),"-"),"")</f>
        <v>8.7833333333333332</v>
      </c>
      <c r="AS11" s="61">
        <f ca="1">IF(ISNUMBER($A11),COUNT(INDEX($E11:$X11,MATCH(Sheet1!$G$3,$E$1:$X$1,0)):INDEX($E11:$X11,MATCH(Sheet1!$G$2,$E$1:$X$1,0))),"")</f>
        <v>6</v>
      </c>
    </row>
    <row r="12" spans="1:45">
      <c r="A12" s="6">
        <v>2</v>
      </c>
      <c r="B12" s="7" t="s">
        <v>55</v>
      </c>
      <c r="C12" s="7" t="s">
        <v>54</v>
      </c>
      <c r="D12" s="6" t="s">
        <v>52</v>
      </c>
      <c r="E12" s="8">
        <v>8.2799999999999994</v>
      </c>
      <c r="F12" s="8">
        <v>7</v>
      </c>
      <c r="G12" s="8">
        <v>7.64</v>
      </c>
      <c r="H12" s="8" t="s">
        <v>40</v>
      </c>
      <c r="I12" s="8" t="s">
        <v>40</v>
      </c>
      <c r="J12" s="8">
        <v>5.4</v>
      </c>
      <c r="K12" s="8">
        <v>6.4</v>
      </c>
      <c r="L12" s="8">
        <v>7.12</v>
      </c>
      <c r="M12" s="12" t="s">
        <v>43</v>
      </c>
      <c r="N12" s="12">
        <v>10</v>
      </c>
      <c r="O12" s="12">
        <v>10</v>
      </c>
      <c r="P12" s="12">
        <v>9.1999999999999993</v>
      </c>
      <c r="Q12" s="8">
        <v>9.1999999999999993</v>
      </c>
      <c r="R12" s="8">
        <v>7</v>
      </c>
      <c r="S12" s="13">
        <v>7</v>
      </c>
      <c r="T12" s="8">
        <v>9.1999999999999993</v>
      </c>
      <c r="U12" s="8">
        <f>'[1]Run Team'!C4</f>
        <v>9.4</v>
      </c>
      <c r="V12" s="8"/>
      <c r="W12" s="8"/>
      <c r="X12" s="8"/>
      <c r="Y12" s="8">
        <f>SUM(E12:X12)</f>
        <v>112.84</v>
      </c>
      <c r="Z12" s="8">
        <f>IFERROR(AVERAGE(E12:X12),"-")</f>
        <v>8.06</v>
      </c>
      <c r="AB12" s="6">
        <f>AB11+1</f>
        <v>2</v>
      </c>
      <c r="AC12" s="7" t="str" cm="1">
        <f t="array" ref="AC12">INDEX(_xlfn.SORTBY($B$11:$B$17,IF(ISNUMBER($Z$11:$Z$17),$Z$11:$Z$17,-1),-1,$Y$11:$Y$17,-1),$AB12)</f>
        <v>Ravi Gupta</v>
      </c>
      <c r="AD12" s="6" t="str">
        <f>INDEX($D$11:$D$17,MATCH($AC12,$B$11:$B$17,0))</f>
        <v>SSE</v>
      </c>
      <c r="AE12" s="11">
        <f>COUNT(INDEX($E$11:$X$17,MATCH($AC12,$B$11:$B$17,0),0))</f>
        <v>10</v>
      </c>
      <c r="AF12" s="8">
        <f>INDEX($Y$11:$Y$17,MATCH($AC12,$B$11:$B$17,0))</f>
        <v>86.77000000000001</v>
      </c>
      <c r="AG12" s="8">
        <f>INDEX($Z$11:$Z$17,MATCH($AC12,$B$11:$B$17,0))</f>
        <v>8.6770000000000014</v>
      </c>
      <c r="AH12" s="11">
        <f>RANK(AG12,$AG$4:$AG$57,0)</f>
        <v>12</v>
      </c>
      <c r="AJ12" s="6">
        <f>AJ11+1</f>
        <v>2</v>
      </c>
      <c r="AK12" s="7" t="str" cm="1">
        <f t="array" aca="1" ref="AK12" ca="1">INDEX(_xlfn.SORTBY($B$11:$B$17,IF(ISNUMBER($AR$11:$AR$17),$AR$11:$AR$17,-1),-1,$AS$11:$AS$17,-1),$AJ12)</f>
        <v>Ravi Gupta</v>
      </c>
      <c r="AL12" s="6" t="str">
        <f ca="1">INDEX($D$11:$D$17,MATCH($AK12,$B$11:$B$17,0))</f>
        <v>SSE</v>
      </c>
      <c r="AM12" s="11" t="str">
        <f ca="1">INDEX($C$11:$C$17,MATCH($AK12,$B$11:$B$17,0))</f>
        <v>DevOps</v>
      </c>
      <c r="AN12" s="11">
        <f ca="1">INDEX($AS$11:$AS$17,MATCH($AK12,$B$11:$B$17,0))</f>
        <v>6</v>
      </c>
      <c r="AO12" s="8">
        <f ca="1">INDEX($AR$11:$AR$17,MATCH($AK12,$B$11:$B$17,0))</f>
        <v>9.1116666666666664</v>
      </c>
      <c r="AP12" s="11">
        <f ca="1">IF(ISNUMBER(AO12),RANK(AO12,$AO$4:$AO$57,0),"-")</f>
        <v>11</v>
      </c>
      <c r="AR12" s="59">
        <f ca="1">IF(ISNUMBER($A12),IFERROR(AVERAGE(INDEX($E12:$X12,MATCH(Sheet1!$G$3,$E$1:$X$1,0)):INDEX($E12:$X12,MATCH(Sheet1!$G$2,$E$1:$X$1,0))),"-"),"")</f>
        <v>8.4999999999999982</v>
      </c>
      <c r="AS12" s="61">
        <f ca="1">IF(ISNUMBER($A12),COUNT(INDEX($E12:$X12,MATCH(Sheet1!$G$3,$E$1:$X$1,0)):INDEX($E12:$X12,MATCH(Sheet1!$G$2,$E$1:$X$1,0))),"")</f>
        <v>6</v>
      </c>
    </row>
    <row r="13" spans="1:45">
      <c r="A13" s="6">
        <v>3</v>
      </c>
      <c r="B13" s="7" t="s">
        <v>56</v>
      </c>
      <c r="C13" s="7" t="s">
        <v>38</v>
      </c>
      <c r="D13" s="6" t="s">
        <v>52</v>
      </c>
      <c r="E13" s="8" t="s">
        <v>40</v>
      </c>
      <c r="F13" s="8">
        <v>6</v>
      </c>
      <c r="G13" s="8" t="s">
        <v>40</v>
      </c>
      <c r="H13" s="8">
        <v>9.5500000000000007</v>
      </c>
      <c r="I13" s="8">
        <v>6.7</v>
      </c>
      <c r="J13" s="8">
        <v>5.95</v>
      </c>
      <c r="K13" s="8">
        <v>5.92</v>
      </c>
      <c r="L13" s="8">
        <v>7.01</v>
      </c>
      <c r="M13" s="8">
        <v>5.09</v>
      </c>
      <c r="N13" s="8">
        <v>9</v>
      </c>
      <c r="O13" s="8">
        <v>7</v>
      </c>
      <c r="P13" s="8">
        <v>8.85</v>
      </c>
      <c r="Q13" s="8">
        <v>8.9499999999999993</v>
      </c>
      <c r="R13" s="8">
        <v>8.9499999999999993</v>
      </c>
      <c r="S13" s="13">
        <v>9.5500000000000007</v>
      </c>
      <c r="T13" s="8">
        <v>9.1999999999999993</v>
      </c>
      <c r="U13" s="8">
        <f>'[1]Team Bravo'!C4</f>
        <v>8.9499999999999993</v>
      </c>
      <c r="V13" s="8"/>
      <c r="W13" s="8"/>
      <c r="X13" s="8"/>
      <c r="Y13" s="8">
        <f>SUM(E13:X13)</f>
        <v>116.67</v>
      </c>
      <c r="Z13" s="8">
        <f>IFERROR(AVERAGE(E13:X13),"-")</f>
        <v>7.7780000000000005</v>
      </c>
      <c r="AB13" s="6">
        <f>AB12+1</f>
        <v>3</v>
      </c>
      <c r="AC13" s="7" t="str" cm="1">
        <f t="array" ref="AC13">INDEX(_xlfn.SORTBY($B$11:$B$17,IF(ISNUMBER($Z$11:$Z$17),$Z$11:$Z$17,-1),-1,$Y$11:$Y$17,-1),$AB13)</f>
        <v>Ram Chandra Dahal</v>
      </c>
      <c r="AD13" s="6" t="str">
        <f>INDEX($D$11:$D$17,MATCH($AC13,$B$11:$B$17,0))</f>
        <v>SSE</v>
      </c>
      <c r="AE13" s="11">
        <f>COUNT(INDEX($E$11:$X$17,MATCH($AC13,$B$11:$B$17,0),0))</f>
        <v>16</v>
      </c>
      <c r="AF13" s="8">
        <f>INDEX($Y$11:$Y$17,MATCH($AC13,$B$11:$B$17,0))</f>
        <v>131.33999999999997</v>
      </c>
      <c r="AG13" s="8">
        <f>INDEX($Z$11:$Z$17,MATCH($AC13,$B$11:$B$17,0))</f>
        <v>8.2087499999999984</v>
      </c>
      <c r="AH13" s="11">
        <f>RANK(AG13,$AG$4:$AG$57,0)</f>
        <v>17</v>
      </c>
      <c r="AJ13" s="6">
        <f>AJ12+1</f>
        <v>3</v>
      </c>
      <c r="AK13" s="7" t="str" cm="1">
        <f t="array" aca="1" ref="AK13" ca="1">INDEX(_xlfn.SORTBY($B$11:$B$17,IF(ISNUMBER($AR$11:$AR$17),$AR$11:$AR$17,-1),-1,$AS$11:$AS$17,-1),$AJ13)</f>
        <v>Anuj Magar</v>
      </c>
      <c r="AL13" s="6" t="str">
        <f ca="1">INDEX($D$11:$D$17,MATCH($AK13,$B$11:$B$17,0))</f>
        <v>SSE</v>
      </c>
      <c r="AM13" s="11" t="str">
        <f ca="1">INDEX($C$11:$C$17,MATCH($AK13,$B$11:$B$17,0))</f>
        <v>Team Bravo</v>
      </c>
      <c r="AN13" s="11">
        <f ca="1">INDEX($AS$11:$AS$17,MATCH($AK13,$B$11:$B$17,0))</f>
        <v>6</v>
      </c>
      <c r="AO13" s="8">
        <f ca="1">INDEX($AR$11:$AR$17,MATCH($AK13,$B$11:$B$17,0))</f>
        <v>9.0750000000000011</v>
      </c>
      <c r="AP13" s="11">
        <f ca="1">IF(ISNUMBER(AO13),RANK(AO13,$AO$4:$AO$57,0),"-")</f>
        <v>13</v>
      </c>
      <c r="AR13" s="59">
        <f ca="1">IF(ISNUMBER($A13),IFERROR(AVERAGE(INDEX($E13:$X13,MATCH(Sheet1!$G$3,$E$1:$X$1,0)):INDEX($E13:$X13,MATCH(Sheet1!$G$2,$E$1:$X$1,0))),"-"),"")</f>
        <v>9.0750000000000011</v>
      </c>
      <c r="AS13" s="61">
        <f ca="1">IF(ISNUMBER($A13),COUNT(INDEX($E13:$X13,MATCH(Sheet1!$G$3,$E$1:$X$1,0)):INDEX($E13:$X13,MATCH(Sheet1!$G$2,$E$1:$X$1,0))),"")</f>
        <v>6</v>
      </c>
    </row>
    <row r="14" spans="1:45">
      <c r="A14" s="6">
        <v>4</v>
      </c>
      <c r="B14" s="7" t="s">
        <v>57</v>
      </c>
      <c r="C14" s="7" t="s">
        <v>42</v>
      </c>
      <c r="D14" s="6" t="s">
        <v>52</v>
      </c>
      <c r="E14" s="8" t="s">
        <v>43</v>
      </c>
      <c r="F14" s="8" t="s">
        <v>43</v>
      </c>
      <c r="G14" s="8" t="s">
        <v>43</v>
      </c>
      <c r="H14" s="8" t="s">
        <v>43</v>
      </c>
      <c r="I14" s="8" t="s">
        <v>43</v>
      </c>
      <c r="J14" s="8" t="s">
        <v>43</v>
      </c>
      <c r="K14" s="8" t="s">
        <v>43</v>
      </c>
      <c r="L14" s="8">
        <v>6.84</v>
      </c>
      <c r="M14" s="8">
        <v>5.86</v>
      </c>
      <c r="N14" s="8">
        <v>10</v>
      </c>
      <c r="O14" s="8">
        <v>9.4</v>
      </c>
      <c r="P14" s="8">
        <v>7</v>
      </c>
      <c r="Q14" s="8">
        <v>10</v>
      </c>
      <c r="R14" s="8">
        <v>8.67</v>
      </c>
      <c r="S14" s="13">
        <v>10</v>
      </c>
      <c r="T14" s="8">
        <v>10</v>
      </c>
      <c r="U14" s="8">
        <f>[1]DevOps!C3</f>
        <v>9</v>
      </c>
      <c r="V14" s="8"/>
      <c r="W14" s="8"/>
      <c r="X14" s="8"/>
      <c r="Y14" s="8">
        <f>SUM(E14:X14)</f>
        <v>86.77000000000001</v>
      </c>
      <c r="Z14" s="8">
        <f>IFERROR(AVERAGE(E14:X14),"-")</f>
        <v>8.6770000000000014</v>
      </c>
      <c r="AB14" s="6">
        <f>AB13+1</f>
        <v>4</v>
      </c>
      <c r="AC14" s="7" t="str" cm="1">
        <f t="array" ref="AC14">INDEX(_xlfn.SORTBY($B$11:$B$17,IF(ISNUMBER($Z$11:$Z$17),$Z$11:$Z$17,-1),-1,$Y$11:$Y$17,-1),$AB14)</f>
        <v>Abhinash Neupane</v>
      </c>
      <c r="AD14" s="6" t="str">
        <f>INDEX($D$11:$D$17,MATCH($AC14,$B$11:$B$17,0))</f>
        <v>SSE</v>
      </c>
      <c r="AE14" s="11">
        <f>COUNT(INDEX($E$11:$X$17,MATCH($AC14,$B$11:$B$17,0),0))</f>
        <v>14</v>
      </c>
      <c r="AF14" s="8">
        <f>INDEX($Y$11:$Y$17,MATCH($AC14,$B$11:$B$17,0))</f>
        <v>112.84</v>
      </c>
      <c r="AG14" s="8">
        <f>INDEX($Z$11:$Z$17,MATCH($AC14,$B$11:$B$17,0))</f>
        <v>8.06</v>
      </c>
      <c r="AH14" s="11">
        <f>RANK(AG14,$AG$4:$AG$57,0)</f>
        <v>20</v>
      </c>
      <c r="AJ14" s="6">
        <f>AJ13+1</f>
        <v>4</v>
      </c>
      <c r="AK14" s="7" t="str" cm="1">
        <f t="array" aca="1" ref="AK14" ca="1">INDEX(_xlfn.SORTBY($B$11:$B$17,IF(ISNUMBER($AR$11:$AR$17),$AR$11:$AR$17,-1),-1,$AS$11:$AS$17,-1),$AJ14)</f>
        <v>Ram Chandra Dahal</v>
      </c>
      <c r="AL14" s="6" t="str">
        <f ca="1">INDEX($D$11:$D$17,MATCH($AK14,$B$11:$B$17,0))</f>
        <v>SSE</v>
      </c>
      <c r="AM14" s="11" t="str">
        <f ca="1">INDEX($C$11:$C$17,MATCH($AK14,$B$11:$B$17,0))</f>
        <v>Run Team</v>
      </c>
      <c r="AN14" s="11">
        <f ca="1">INDEX($AS$11:$AS$17,MATCH($AK14,$B$11:$B$17,0))</f>
        <v>6</v>
      </c>
      <c r="AO14" s="8">
        <f ca="1">INDEX($AR$11:$AR$17,MATCH($AK14,$B$11:$B$17,0))</f>
        <v>8.7833333333333332</v>
      </c>
      <c r="AP14" s="11">
        <f ca="1">IF(ISNUMBER(AO14),RANK(AO14,$AO$4:$AO$57,0),"-")</f>
        <v>18</v>
      </c>
      <c r="AR14" s="59">
        <f ca="1">IF(ISNUMBER($A14),IFERROR(AVERAGE(INDEX($E14:$X14,MATCH(Sheet1!$G$3,$E$1:$X$1,0)):INDEX($E14:$X14,MATCH(Sheet1!$G$2,$E$1:$X$1,0))),"-"),"")</f>
        <v>9.1116666666666664</v>
      </c>
      <c r="AS14" s="61">
        <f ca="1">IF(ISNUMBER($A14),COUNT(INDEX($E14:$X14,MATCH(Sheet1!$G$3,$E$1:$X$1,0)):INDEX($E14:$X14,MATCH(Sheet1!$G$2,$E$1:$X$1,0))),"")</f>
        <v>6</v>
      </c>
    </row>
    <row r="15" spans="1:45">
      <c r="A15" s="6">
        <v>5</v>
      </c>
      <c r="B15" s="7" t="s">
        <v>58</v>
      </c>
      <c r="C15" s="7" t="s">
        <v>45</v>
      </c>
      <c r="D15" s="6" t="s">
        <v>52</v>
      </c>
      <c r="E15" s="8">
        <v>6.08</v>
      </c>
      <c r="F15" s="8">
        <v>5.87</v>
      </c>
      <c r="G15" s="8">
        <v>5.92</v>
      </c>
      <c r="H15" s="8">
        <v>6.58</v>
      </c>
      <c r="I15" s="8">
        <v>6</v>
      </c>
      <c r="J15" s="8">
        <v>5.84</v>
      </c>
      <c r="K15" s="8">
        <v>7</v>
      </c>
      <c r="L15" s="8">
        <v>5.43</v>
      </c>
      <c r="M15" s="8">
        <v>5.81</v>
      </c>
      <c r="N15" s="8">
        <v>7</v>
      </c>
      <c r="O15" s="8">
        <v>9.1999999999999993</v>
      </c>
      <c r="P15" s="8">
        <v>9.1999999999999993</v>
      </c>
      <c r="Q15" s="8">
        <v>9.35</v>
      </c>
      <c r="R15" s="8">
        <v>8.67</v>
      </c>
      <c r="S15" s="13">
        <v>9.1999999999999993</v>
      </c>
      <c r="T15" s="8">
        <v>6.75</v>
      </c>
      <c r="U15" s="8">
        <f>'[1]Team Dharma'!C2</f>
        <v>8.67</v>
      </c>
      <c r="V15" s="8"/>
      <c r="W15" s="8"/>
      <c r="X15" s="8"/>
      <c r="Y15" s="8">
        <f>SUM(E15:X15)</f>
        <v>122.57</v>
      </c>
      <c r="Z15" s="8">
        <f>IFERROR(AVERAGE(E15:X15),"-")</f>
        <v>7.21</v>
      </c>
      <c r="AB15" s="6">
        <f>AB14+1</f>
        <v>5</v>
      </c>
      <c r="AC15" s="7" t="str" cm="1">
        <f t="array" ref="AC15">INDEX(_xlfn.SORTBY($B$11:$B$17,IF(ISNUMBER($Z$11:$Z$17),$Z$11:$Z$17,-1),-1,$Y$11:$Y$17,-1),$AB15)</f>
        <v>Anuj Magar</v>
      </c>
      <c r="AD15" s="6" t="str">
        <f>INDEX($D$11:$D$17,MATCH($AC15,$B$11:$B$17,0))</f>
        <v>SSE</v>
      </c>
      <c r="AE15" s="11">
        <f>COUNT(INDEX($E$11:$X$17,MATCH($AC15,$B$11:$B$17,0),0))</f>
        <v>15</v>
      </c>
      <c r="AF15" s="8">
        <f>INDEX($Y$11:$Y$17,MATCH($AC15,$B$11:$B$17,0))</f>
        <v>116.67</v>
      </c>
      <c r="AG15" s="8">
        <f>INDEX($Z$11:$Z$17,MATCH($AC15,$B$11:$B$17,0))</f>
        <v>7.7780000000000005</v>
      </c>
      <c r="AH15" s="11">
        <f>RANK(AG15,$AG$4:$AG$57,0)</f>
        <v>27</v>
      </c>
      <c r="AJ15" s="6">
        <f>AJ14+1</f>
        <v>5</v>
      </c>
      <c r="AK15" s="7" t="str" cm="1">
        <f t="array" aca="1" ref="AK15" ca="1">INDEX(_xlfn.SORTBY($B$11:$B$17,IF(ISNUMBER($AR$11:$AR$17),$AR$11:$AR$17,-1),-1,$AS$11:$AS$17,-1),$AJ15)</f>
        <v>Nirjal Dahal</v>
      </c>
      <c r="AL15" s="6" t="str">
        <f ca="1">INDEX($D$11:$D$17,MATCH($AK15,$B$11:$B$17,0))</f>
        <v>SSE</v>
      </c>
      <c r="AM15" s="11" t="str">
        <f ca="1">INDEX($C$11:$C$17,MATCH($AK15,$B$11:$B$17,0))</f>
        <v>Blaze Warrior</v>
      </c>
      <c r="AN15" s="11">
        <f ca="1">INDEX($AS$11:$AS$17,MATCH($AK15,$B$11:$B$17,0))</f>
        <v>6</v>
      </c>
      <c r="AO15" s="8">
        <f ca="1">INDEX($AR$11:$AR$17,MATCH($AK15,$B$11:$B$17,0))</f>
        <v>8.64</v>
      </c>
      <c r="AP15" s="11">
        <f ca="1">IF(ISNUMBER(AO15),RANK(AO15,$AO$4:$AO$57,0),"-")</f>
        <v>25</v>
      </c>
      <c r="AR15" s="59">
        <f ca="1">IF(ISNUMBER($A15),IFERROR(AVERAGE(INDEX($E15:$X15,MATCH(Sheet1!$G$3,$E$1:$X$1,0)):INDEX($E15:$X15,MATCH(Sheet1!$G$2,$E$1:$X$1,0))),"-"),"")</f>
        <v>8.64</v>
      </c>
      <c r="AS15" s="61">
        <f ca="1">IF(ISNUMBER($A15),COUNT(INDEX($E15:$X15,MATCH(Sheet1!$G$3,$E$1:$X$1,0)):INDEX($E15:$X15,MATCH(Sheet1!$G$2,$E$1:$X$1,0))),"")</f>
        <v>6</v>
      </c>
    </row>
    <row r="16" spans="1:45">
      <c r="A16" s="6">
        <v>6</v>
      </c>
      <c r="B16" s="7" t="s">
        <v>59</v>
      </c>
      <c r="C16" s="7" t="s">
        <v>38</v>
      </c>
      <c r="D16" s="6" t="s">
        <v>52</v>
      </c>
      <c r="E16" s="8">
        <v>5.14</v>
      </c>
      <c r="F16" s="8">
        <v>6.28</v>
      </c>
      <c r="G16" s="8">
        <v>4</v>
      </c>
      <c r="H16" s="8">
        <v>5.76</v>
      </c>
      <c r="I16" s="8">
        <v>9</v>
      </c>
      <c r="J16" s="8">
        <v>5.72</v>
      </c>
      <c r="K16" s="8">
        <v>6</v>
      </c>
      <c r="L16" s="8">
        <v>6.5</v>
      </c>
      <c r="M16" s="8">
        <v>7.16</v>
      </c>
      <c r="N16" s="8">
        <v>9.1999999999999993</v>
      </c>
      <c r="O16" s="8">
        <v>9</v>
      </c>
      <c r="P16" s="8">
        <v>9.6</v>
      </c>
      <c r="Q16" s="8">
        <v>8.67</v>
      </c>
      <c r="R16" s="8">
        <v>8.33</v>
      </c>
      <c r="S16" s="13">
        <v>6.5</v>
      </c>
      <c r="T16" s="8">
        <v>8.33</v>
      </c>
      <c r="U16" s="8">
        <f>'[1]Team Bimal'!C6</f>
        <v>6</v>
      </c>
      <c r="V16" s="8"/>
      <c r="W16" s="8"/>
      <c r="X16" s="8"/>
      <c r="Y16" s="8">
        <f>SUM(E16:X16)</f>
        <v>121.19</v>
      </c>
      <c r="Z16" s="8">
        <f>IFERROR(AVERAGE(E16:X16),"-")</f>
        <v>7.1288235294117648</v>
      </c>
      <c r="AB16" s="6">
        <f>AB15+1</f>
        <v>6</v>
      </c>
      <c r="AC16" s="7" t="str" cm="1">
        <f t="array" ref="AC16">INDEX(_xlfn.SORTBY($B$11:$B$17,IF(ISNUMBER($Z$11:$Z$17),$Z$11:$Z$17,-1),-1,$Y$11:$Y$17,-1),$AB16)</f>
        <v>Nirjal Dahal</v>
      </c>
      <c r="AD16" s="6" t="str">
        <f>INDEX($D$11:$D$17,MATCH($AC16,$B$11:$B$17,0))</f>
        <v>SSE</v>
      </c>
      <c r="AE16" s="11">
        <f>COUNT(INDEX($E$11:$X$17,MATCH($AC16,$B$11:$B$17,0),0))</f>
        <v>17</v>
      </c>
      <c r="AF16" s="8">
        <f>INDEX($Y$11:$Y$17,MATCH($AC16,$B$11:$B$17,0))</f>
        <v>122.57</v>
      </c>
      <c r="AG16" s="8">
        <f>INDEX($Z$11:$Z$17,MATCH($AC16,$B$11:$B$17,0))</f>
        <v>7.21</v>
      </c>
      <c r="AH16" s="11">
        <f>RANK(AG16,$AG$4:$AG$57,0)</f>
        <v>40</v>
      </c>
      <c r="AJ16" s="6">
        <f>AJ15+1</f>
        <v>6</v>
      </c>
      <c r="AK16" s="7" t="str" cm="1">
        <f t="array" aca="1" ref="AK16" ca="1">INDEX(_xlfn.SORTBY($B$11:$B$17,IF(ISNUMBER($AR$11:$AR$17),$AR$11:$AR$17,-1),-1,$AS$11:$AS$17,-1),$AJ16)</f>
        <v>Abhinash Neupane</v>
      </c>
      <c r="AL16" s="6" t="str">
        <f ca="1">INDEX($D$11:$D$17,MATCH($AK16,$B$11:$B$17,0))</f>
        <v>SSE</v>
      </c>
      <c r="AM16" s="11" t="str">
        <f ca="1">INDEX($C$11:$C$17,MATCH($AK16,$B$11:$B$17,0))</f>
        <v>Run Team</v>
      </c>
      <c r="AN16" s="11">
        <f ca="1">INDEX($AS$11:$AS$17,MATCH($AK16,$B$11:$B$17,0))</f>
        <v>6</v>
      </c>
      <c r="AO16" s="8">
        <f ca="1">INDEX($AR$11:$AR$17,MATCH($AK16,$B$11:$B$17,0))</f>
        <v>8.4999999999999982</v>
      </c>
      <c r="AP16" s="11">
        <f ca="1">IF(ISNUMBER(AO16),RANK(AO16,$AO$4:$AO$57,0),"-")</f>
        <v>27</v>
      </c>
      <c r="AR16" s="59">
        <f ca="1">IF(ISNUMBER($A16),IFERROR(AVERAGE(INDEX($E16:$X16,MATCH(Sheet1!$G$3,$E$1:$X$1,0)):INDEX($E16:$X16,MATCH(Sheet1!$G$2,$E$1:$X$1,0))),"-"),"")</f>
        <v>7.9050000000000002</v>
      </c>
      <c r="AS16" s="61">
        <f ca="1">IF(ISNUMBER($A16),COUNT(INDEX($E16:$X16,MATCH(Sheet1!$G$3,$E$1:$X$1,0)):INDEX($E16:$X16,MATCH(Sheet1!$G$2,$E$1:$X$1,0))),"")</f>
        <v>6</v>
      </c>
    </row>
    <row r="17" spans="1:45">
      <c r="A17" s="6">
        <v>7</v>
      </c>
      <c r="B17" s="7" t="s">
        <v>60</v>
      </c>
      <c r="C17" s="7" t="s">
        <v>49</v>
      </c>
      <c r="D17" s="6" t="s">
        <v>52</v>
      </c>
      <c r="E17" s="6" t="s">
        <v>43</v>
      </c>
      <c r="F17" s="8" t="s">
        <v>43</v>
      </c>
      <c r="G17" s="8" t="s">
        <v>43</v>
      </c>
      <c r="H17" s="8" t="s">
        <v>43</v>
      </c>
      <c r="I17" s="8" t="s">
        <v>43</v>
      </c>
      <c r="J17" s="8" t="s">
        <v>43</v>
      </c>
      <c r="K17" s="8" t="s">
        <v>43</v>
      </c>
      <c r="L17" s="8" t="s">
        <v>43</v>
      </c>
      <c r="M17" s="8" t="s">
        <v>43</v>
      </c>
      <c r="N17" s="8" t="s">
        <v>43</v>
      </c>
      <c r="O17" s="8" t="s">
        <v>43</v>
      </c>
      <c r="P17" s="8" t="s">
        <v>43</v>
      </c>
      <c r="Q17" s="8" t="s">
        <v>43</v>
      </c>
      <c r="R17" s="8" t="s">
        <v>43</v>
      </c>
      <c r="S17" s="15">
        <v>10</v>
      </c>
      <c r="T17" s="8">
        <v>9</v>
      </c>
      <c r="U17" s="8">
        <f>'[1]UI Team'!C2</f>
        <v>8.67</v>
      </c>
      <c r="V17" s="8"/>
      <c r="W17" s="8"/>
      <c r="X17" s="8"/>
      <c r="Y17" s="8">
        <f>SUM(E17:X17)</f>
        <v>27.67</v>
      </c>
      <c r="Z17" s="8">
        <f>IFERROR(AVERAGE(E17:X17),"-")</f>
        <v>9.2233333333333345</v>
      </c>
      <c r="AB17" s="6">
        <f>AB16+1</f>
        <v>7</v>
      </c>
      <c r="AC17" s="7" t="str" cm="1">
        <f t="array" ref="AC17">INDEX(_xlfn.SORTBY($B$11:$B$17,IF(ISNUMBER($Z$11:$Z$17),$Z$11:$Z$17,-1),-1,$Y$11:$Y$17,-1),$AB17)</f>
        <v>BK Krishna Magar</v>
      </c>
      <c r="AD17" s="6" t="str">
        <f>INDEX($D$11:$D$17,MATCH($AC17,$B$11:$B$17,0))</f>
        <v>SSE</v>
      </c>
      <c r="AE17" s="11">
        <f>COUNT(INDEX($E$11:$X$17,MATCH($AC17,$B$11:$B$17,0),0))</f>
        <v>17</v>
      </c>
      <c r="AF17" s="8">
        <f>INDEX($Y$11:$Y$17,MATCH($AC17,$B$11:$B$17,0))</f>
        <v>121.19</v>
      </c>
      <c r="AG17" s="8">
        <f>INDEX($Z$11:$Z$17,MATCH($AC17,$B$11:$B$17,0))</f>
        <v>7.1288235294117648</v>
      </c>
      <c r="AH17" s="11">
        <f>RANK(AG17,$AG$4:$AG$57,0)</f>
        <v>42</v>
      </c>
      <c r="AJ17" s="6">
        <f>AJ16+1</f>
        <v>7</v>
      </c>
      <c r="AK17" s="7" t="str" cm="1">
        <f t="array" aca="1" ref="AK17" ca="1">INDEX(_xlfn.SORTBY($B$11:$B$17,IF(ISNUMBER($AR$11:$AR$17),$AR$11:$AR$17,-1),-1,$AS$11:$AS$17,-1),$AJ17)</f>
        <v>BK Krishna Magar</v>
      </c>
      <c r="AL17" s="6" t="str">
        <f ca="1">INDEX($D$11:$D$17,MATCH($AK17,$B$11:$B$17,0))</f>
        <v>SSE</v>
      </c>
      <c r="AM17" s="11" t="str">
        <f ca="1">INDEX($C$11:$C$17,MATCH($AK17,$B$11:$B$17,0))</f>
        <v>Team Bravo</v>
      </c>
      <c r="AN17" s="11">
        <f ca="1">INDEX($AS$11:$AS$17,MATCH($AK17,$B$11:$B$17,0))</f>
        <v>6</v>
      </c>
      <c r="AO17" s="8">
        <f ca="1">INDEX($AR$11:$AR$17,MATCH($AK17,$B$11:$B$17,0))</f>
        <v>7.9050000000000002</v>
      </c>
      <c r="AP17" s="11">
        <f ca="1">IF(ISNUMBER(AO17),RANK(AO17,$AO$4:$AO$57,0),"-")</f>
        <v>37</v>
      </c>
      <c r="AR17" s="59">
        <f ca="1">IF(ISNUMBER($A17),IFERROR(AVERAGE(INDEX($E17:$X17,MATCH(Sheet1!$G$3,$E$1:$X$1,0)):INDEX($E17:$X17,MATCH(Sheet1!$G$2,$E$1:$X$1,0))),"-"),"")</f>
        <v>9.2233333333333345</v>
      </c>
      <c r="AS17" s="61">
        <f ca="1">IF(ISNUMBER($A17),COUNT(INDEX($E17:$X17,MATCH(Sheet1!$G$3,$E$1:$X$1,0)):INDEX($E17:$X17,MATCH(Sheet1!$G$2,$E$1:$X$1,0))),"")</f>
        <v>3</v>
      </c>
    </row>
    <row r="18" spans="1:45">
      <c r="A18" s="1"/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R18" s="2"/>
      <c r="S18" s="2"/>
      <c r="T18" s="2"/>
      <c r="U18" s="2"/>
      <c r="V18" s="2"/>
      <c r="W18" s="2"/>
      <c r="X18" s="2"/>
      <c r="Y18" s="2"/>
      <c r="Z18" s="2"/>
      <c r="AB18" s="1"/>
      <c r="AD18" s="1"/>
      <c r="AE18" s="3"/>
      <c r="AF18" s="2"/>
      <c r="AG18" s="2"/>
      <c r="AH18" s="3"/>
      <c r="AJ18" s="1"/>
      <c r="AL18" s="1"/>
      <c r="AM18" s="3"/>
      <c r="AN18" s="3"/>
      <c r="AO18" s="2"/>
      <c r="AP18" s="3"/>
      <c r="AR18" s="59" t="str">
        <f>IF(ISNUMBER($A18),IFERROR(AVERAGE(INDEX($E18:$X18,MATCH(Sheet1!$G$3,$E$1:$X$1,0)):INDEX($E18:$X18,MATCH(Sheet1!$G$2,$E$1:$X$1,0))),"-"),"")</f>
        <v/>
      </c>
      <c r="AS18" s="61" t="str">
        <f>IF(ISNUMBER($A18),COUNT(INDEX($E18:$X18,MATCH(Sheet1!$G$3,$E$1:$X$1,0)):INDEX($E18:$X18,MATCH(Sheet1!$G$2,$E$1:$X$1,0))),"")</f>
        <v/>
      </c>
    </row>
    <row r="19" spans="1:45">
      <c r="A19" s="9"/>
      <c r="B19" s="5" t="s">
        <v>61</v>
      </c>
      <c r="C19" s="5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4"/>
      <c r="T19" s="10"/>
      <c r="U19" s="10"/>
      <c r="V19" s="10"/>
      <c r="W19" s="10"/>
      <c r="X19" s="10"/>
      <c r="Y19" s="10"/>
      <c r="Z19" s="10"/>
      <c r="AB19" s="63" t="s">
        <v>61</v>
      </c>
      <c r="AC19" s="64"/>
      <c r="AD19" s="64"/>
      <c r="AE19" s="64"/>
      <c r="AF19" s="64"/>
      <c r="AG19" s="64"/>
      <c r="AH19" s="65"/>
      <c r="AJ19" s="63" t="s">
        <v>61</v>
      </c>
      <c r="AK19" s="64"/>
      <c r="AL19" s="64"/>
      <c r="AM19" s="64"/>
      <c r="AN19" s="66"/>
      <c r="AO19" s="64"/>
      <c r="AP19" s="65"/>
      <c r="AR19" s="59" t="str">
        <f>IF(ISNUMBER($A19),IFERROR(AVERAGE(INDEX($E19:$X19,MATCH(Sheet1!$G$3,$E$1:$X$1,0)):INDEX($E19:$X19,MATCH(Sheet1!$G$2,$E$1:$X$1,0))),"-"),"")</f>
        <v/>
      </c>
      <c r="AS19" s="61" t="str">
        <f>IF(ISNUMBER($A19),COUNT(INDEX($E19:$X19,MATCH(Sheet1!$G$3,$E$1:$X$1,0)):INDEX($E19:$X19,MATCH(Sheet1!$G$2,$E$1:$X$1,0))),"")</f>
        <v/>
      </c>
    </row>
    <row r="20" spans="1:45">
      <c r="A20" s="6">
        <v>1</v>
      </c>
      <c r="B20" s="7" t="s">
        <v>62</v>
      </c>
      <c r="C20" s="7" t="s">
        <v>38</v>
      </c>
      <c r="D20" s="6" t="s">
        <v>61</v>
      </c>
      <c r="E20" s="8">
        <v>9.1999999999999993</v>
      </c>
      <c r="F20" s="8">
        <v>6.95</v>
      </c>
      <c r="G20" s="8">
        <v>6.5</v>
      </c>
      <c r="H20" s="8">
        <v>8.6999999999999993</v>
      </c>
      <c r="I20" s="8">
        <v>8.83</v>
      </c>
      <c r="J20" s="8">
        <v>10</v>
      </c>
      <c r="K20" s="8">
        <v>9.6</v>
      </c>
      <c r="L20" s="8">
        <v>7.68</v>
      </c>
      <c r="M20" s="8">
        <v>6.72</v>
      </c>
      <c r="N20" s="8">
        <v>9.1999999999999993</v>
      </c>
      <c r="O20" s="8">
        <v>9.4499999999999993</v>
      </c>
      <c r="P20" s="8">
        <v>9.9499999999999993</v>
      </c>
      <c r="Q20" s="8">
        <v>9.1</v>
      </c>
      <c r="R20" s="8">
        <v>7.15</v>
      </c>
      <c r="S20" s="13">
        <v>7.45</v>
      </c>
      <c r="T20" s="8">
        <v>8.33</v>
      </c>
      <c r="U20" s="8">
        <f>'[1]Team Bravo'!C5</f>
        <v>10</v>
      </c>
      <c r="V20" s="8"/>
      <c r="W20" s="8"/>
      <c r="X20" s="8"/>
      <c r="Y20" s="8">
        <f>SUM(E20:X20)</f>
        <v>144.81000000000003</v>
      </c>
      <c r="Z20" s="8">
        <f>IFERROR(AVERAGE(E20:X20),"-")</f>
        <v>8.5182352941176482</v>
      </c>
      <c r="AB20" s="6">
        <v>1</v>
      </c>
      <c r="AC20" s="7" t="str" cm="1">
        <f t="array" ref="AC20">INDEX(_xlfn.SORTBY($B$20:$B$35,IF(ISNUMBER($Z$20:$Z$35),$Z$20:$Z$35,-1),-1,$Y$20:$Y$35,-1),$AB20)</f>
        <v>Mandip Thapa</v>
      </c>
      <c r="AD20" s="6" t="str">
        <f>INDEX($D$20:$D$35,MATCH($AC20,$B$20:$B$35,0))</f>
        <v>SE</v>
      </c>
      <c r="AE20" s="11">
        <f>COUNT(INDEX($E$20:$X$35,MATCH($AC20,$B$20:$B$35,0),0))</f>
        <v>1</v>
      </c>
      <c r="AF20" s="8">
        <f>INDEX($Y$20:$Y$35,MATCH($AC20,$B$20:$B$35,0))</f>
        <v>9</v>
      </c>
      <c r="AG20" s="8">
        <f>INDEX($Z$20:$Z$35,MATCH($AC20,$B$20:$B$35,0))</f>
        <v>9</v>
      </c>
      <c r="AH20" s="11">
        <f>RANK(AG20,$AG$4:$AG$57,0)</f>
        <v>7</v>
      </c>
      <c r="AJ20" s="6">
        <v>1</v>
      </c>
      <c r="AK20" s="7" t="str" cm="1">
        <f t="array" aca="1" ref="AK20" ca="1">INDEX(_xlfn.SORTBY($B$20:$B$35,IF(ISNUMBER($AR$20:$AR$35),$AR$20:$AR$35,-1),-1,$AS$20:$AS$35,-1),$AJ20)</f>
        <v>Sajjan Khanal</v>
      </c>
      <c r="AL20" s="6" t="str">
        <f ca="1">INDEX($D$20:$D$35,MATCH($AK20,$B$20:$B$35,0))</f>
        <v>SE</v>
      </c>
      <c r="AM20" s="11" t="str">
        <f ca="1">INDEX($C$20:$C$35,MATCH($AK20,$B$20:$B$35,0))</f>
        <v>DevOps</v>
      </c>
      <c r="AN20" s="11">
        <f ca="1">INDEX($AS$20:$AS$35,MATCH($AK20,$B$20:$B$35,0))</f>
        <v>5</v>
      </c>
      <c r="AO20" s="8">
        <f ca="1">INDEX($AR$20:$AR$35,MATCH($AK20,$B$20:$B$35,0))</f>
        <v>9.8000000000000007</v>
      </c>
      <c r="AP20" s="11">
        <f ca="1">IF(ISNUMBER(AO20),RANK(AO20,$AO$4:$AO$57,0),"-")</f>
        <v>2</v>
      </c>
      <c r="AR20" s="59">
        <f ca="1">IF(ISNUMBER($A20),IFERROR(AVERAGE(INDEX($E20:$X20,MATCH(Sheet1!$G$3,$E$1:$X$1,0)):INDEX($E20:$X20,MATCH(Sheet1!$G$2,$E$1:$X$1,0))),"-"),"")</f>
        <v>8.6633333333333322</v>
      </c>
      <c r="AS20" s="61">
        <f ca="1">IF(ISNUMBER($A20),COUNT(INDEX($E20:$X20,MATCH(Sheet1!$G$3,$E$1:$X$1,0)):INDEX($E20:$X20,MATCH(Sheet1!$G$2,$E$1:$X$1,0))),"")</f>
        <v>6</v>
      </c>
    </row>
    <row r="21" spans="1:45">
      <c r="A21" s="6">
        <v>2</v>
      </c>
      <c r="B21" s="7" t="s">
        <v>63</v>
      </c>
      <c r="C21" s="7" t="s">
        <v>42</v>
      </c>
      <c r="D21" s="6" t="s">
        <v>61</v>
      </c>
      <c r="E21" s="8" t="s">
        <v>43</v>
      </c>
      <c r="F21" s="8" t="s">
        <v>43</v>
      </c>
      <c r="G21" s="8" t="s">
        <v>43</v>
      </c>
      <c r="H21" s="8" t="s">
        <v>43</v>
      </c>
      <c r="I21" s="8" t="s">
        <v>43</v>
      </c>
      <c r="J21" s="8" t="s">
        <v>43</v>
      </c>
      <c r="K21" s="8" t="s">
        <v>43</v>
      </c>
      <c r="L21" s="8">
        <v>7.31</v>
      </c>
      <c r="M21" s="8">
        <v>5.25</v>
      </c>
      <c r="N21" s="8">
        <v>10</v>
      </c>
      <c r="O21" s="8">
        <v>9.4</v>
      </c>
      <c r="P21" s="8">
        <v>9.4</v>
      </c>
      <c r="Q21" s="8">
        <v>10</v>
      </c>
      <c r="R21" s="8">
        <v>10</v>
      </c>
      <c r="S21" s="13">
        <v>10</v>
      </c>
      <c r="T21" s="8">
        <v>9.6</v>
      </c>
      <c r="U21" s="8"/>
      <c r="V21" s="8"/>
      <c r="W21" s="8"/>
      <c r="X21" s="8"/>
      <c r="Y21" s="8">
        <f>SUM(E21:X21)</f>
        <v>80.959999999999994</v>
      </c>
      <c r="Z21" s="8">
        <f>IFERROR(AVERAGE(E21:X21),"-")</f>
        <v>8.9955555555555549</v>
      </c>
      <c r="AB21" s="6">
        <f>AB20+1</f>
        <v>2</v>
      </c>
      <c r="AC21" s="7" t="str" cm="1">
        <f t="array" ref="AC21">INDEX(_xlfn.SORTBY($B$20:$B$35,IF(ISNUMBER($Z$20:$Z$35),$Z$20:$Z$35,-1),-1,$Y$20:$Y$35,-1),$AB21)</f>
        <v>Sajjan Khanal</v>
      </c>
      <c r="AD21" s="6" t="str">
        <f>INDEX($D$20:$D$35,MATCH($AC21,$B$20:$B$35,0))</f>
        <v>SE</v>
      </c>
      <c r="AE21" s="11">
        <f>COUNT(INDEX($E$20:$X$35,MATCH($AC21,$B$20:$B$35,0),0))</f>
        <v>9</v>
      </c>
      <c r="AF21" s="8">
        <f>INDEX($Y$20:$Y$35,MATCH($AC21,$B$20:$B$35,0))</f>
        <v>80.959999999999994</v>
      </c>
      <c r="AG21" s="8">
        <f>INDEX($Z$20:$Z$35,MATCH($AC21,$B$20:$B$35,0))</f>
        <v>8.9955555555555549</v>
      </c>
      <c r="AH21" s="11">
        <f>RANK(AG21,$AG$4:$AG$57,0)</f>
        <v>8</v>
      </c>
      <c r="AJ21" s="6">
        <f>AJ20+1</f>
        <v>2</v>
      </c>
      <c r="AK21" s="7" t="str" cm="1">
        <f t="array" aca="1" ref="AK21" ca="1">INDEX(_xlfn.SORTBY($B$20:$B$35,IF(ISNUMBER($AR$20:$AR$35),$AR$20:$AR$35,-1),-1,$AS$20:$AS$35,-1),$AJ21)</f>
        <v>Sagar Maharjan</v>
      </c>
      <c r="AL21" s="6" t="str">
        <f ca="1">INDEX($D$20:$D$35,MATCH($AK21,$B$20:$B$35,0))</f>
        <v>SE</v>
      </c>
      <c r="AM21" s="11" t="str">
        <f ca="1">INDEX($C$20:$C$35,MATCH($AK21,$B$20:$B$35,0))</f>
        <v>Blaze Warrior</v>
      </c>
      <c r="AN21" s="11">
        <f ca="1">INDEX($AS$20:$AS$35,MATCH($AK21,$B$20:$B$35,0))</f>
        <v>6</v>
      </c>
      <c r="AO21" s="8">
        <f ca="1">INDEX($AR$20:$AR$35,MATCH($AK21,$B$20:$B$35,0))</f>
        <v>9.1616666666666671</v>
      </c>
      <c r="AP21" s="11">
        <f ca="1">IF(ISNUMBER(AO21),RANK(AO21,$AO$4:$AO$57,0),"-")</f>
        <v>9</v>
      </c>
      <c r="AR21" s="59">
        <f ca="1">IF(ISNUMBER($A21),IFERROR(AVERAGE(INDEX($E21:$X21,MATCH(Sheet1!$G$3,$E$1:$X$1,0)):INDEX($E21:$X21,MATCH(Sheet1!$G$2,$E$1:$X$1,0))),"-"),"")</f>
        <v>9.8000000000000007</v>
      </c>
      <c r="AS21" s="61">
        <f ca="1">IF(ISNUMBER($A21),COUNT(INDEX($E21:$X21,MATCH(Sheet1!$G$3,$E$1:$X$1,0)):INDEX($E21:$X21,MATCH(Sheet1!$G$2,$E$1:$X$1,0))),"")</f>
        <v>5</v>
      </c>
    </row>
    <row r="22" spans="1:45">
      <c r="A22" s="6">
        <v>3</v>
      </c>
      <c r="B22" s="7" t="s">
        <v>64</v>
      </c>
      <c r="C22" s="7" t="s">
        <v>45</v>
      </c>
      <c r="D22" s="6" t="s">
        <v>61</v>
      </c>
      <c r="E22" s="8">
        <v>7.21</v>
      </c>
      <c r="F22" s="8">
        <v>7.25</v>
      </c>
      <c r="G22" s="8">
        <v>6.8</v>
      </c>
      <c r="H22" s="8">
        <v>6.3</v>
      </c>
      <c r="I22" s="8">
        <v>7.28</v>
      </c>
      <c r="J22" s="8">
        <v>6.8</v>
      </c>
      <c r="K22" s="8">
        <v>7.4</v>
      </c>
      <c r="L22" s="8">
        <v>8.6300000000000008</v>
      </c>
      <c r="M22" s="8">
        <v>5.9</v>
      </c>
      <c r="N22" s="8">
        <v>8.43</v>
      </c>
      <c r="O22" s="8">
        <v>8.68</v>
      </c>
      <c r="P22" s="8">
        <v>9.4</v>
      </c>
      <c r="Q22" s="8">
        <v>6.7</v>
      </c>
      <c r="R22" s="8">
        <v>9.35</v>
      </c>
      <c r="S22" s="13">
        <v>9.35</v>
      </c>
      <c r="T22" s="8">
        <v>6.75</v>
      </c>
      <c r="U22" s="8">
        <f>'[1]Team Dharma'!C4</f>
        <v>8.6300000000000008</v>
      </c>
      <c r="V22" s="8"/>
      <c r="W22" s="8"/>
      <c r="X22" s="8"/>
      <c r="Y22" s="8">
        <f>SUM(E22:X22)</f>
        <v>130.86000000000001</v>
      </c>
      <c r="Z22" s="8">
        <f>IFERROR(AVERAGE(E22:X22),"-")</f>
        <v>7.69764705882353</v>
      </c>
      <c r="AB22" s="6">
        <f>AB21+1</f>
        <v>3</v>
      </c>
      <c r="AC22" s="7" t="str" cm="1">
        <f t="array" ref="AC22">INDEX(_xlfn.SORTBY($B$20:$B$35,IF(ISNUMBER($Z$20:$Z$35),$Z$20:$Z$35,-1),-1,$Y$20:$Y$35,-1),$AB22)</f>
        <v>Jeevan Joshi</v>
      </c>
      <c r="AD22" s="6" t="str">
        <f>INDEX($D$20:$D$35,MATCH($AC22,$B$20:$B$35,0))</f>
        <v>SE</v>
      </c>
      <c r="AE22" s="11">
        <f>COUNT(INDEX($E$20:$X$35,MATCH($AC22,$B$20:$B$35,0),0))</f>
        <v>9</v>
      </c>
      <c r="AF22" s="8">
        <f>INDEX($Y$20:$Y$35,MATCH($AC22,$B$20:$B$35,0))</f>
        <v>80.800000000000011</v>
      </c>
      <c r="AG22" s="8">
        <f>INDEX($Z$20:$Z$35,MATCH($AC22,$B$20:$B$35,0))</f>
        <v>8.9777777777777796</v>
      </c>
      <c r="AH22" s="11">
        <f>RANK(AG22,$AG$4:$AG$57,0)</f>
        <v>9</v>
      </c>
      <c r="AJ22" s="6">
        <f>AJ21+1</f>
        <v>3</v>
      </c>
      <c r="AK22" s="7" t="str" cm="1">
        <f t="array" aca="1" ref="AK22" ca="1">INDEX(_xlfn.SORTBY($B$20:$B$35,IF(ISNUMBER($AR$20:$AR$35),$AR$20:$AR$35,-1),-1,$AS$20:$AS$35,-1),$AJ22)</f>
        <v>Jeevan Joshi</v>
      </c>
      <c r="AL22" s="6" t="str">
        <f ca="1">INDEX($D$20:$D$35,MATCH($AK22,$B$20:$B$35,0))</f>
        <v>SE</v>
      </c>
      <c r="AM22" s="11" t="str">
        <f ca="1">INDEX($C$20:$C$35,MATCH($AK22,$B$20:$B$35,0))</f>
        <v>Run Team</v>
      </c>
      <c r="AN22" s="11">
        <f ca="1">INDEX($AS$20:$AS$35,MATCH($AK22,$B$20:$B$35,0))</f>
        <v>6</v>
      </c>
      <c r="AO22" s="8">
        <f ca="1">INDEX($AR$20:$AR$35,MATCH($AK22,$B$20:$B$35,0))</f>
        <v>9.1</v>
      </c>
      <c r="AP22" s="11">
        <f ca="1">IF(ISNUMBER(AO22),RANK(AO22,$AO$4:$AO$57,0),"-")</f>
        <v>12</v>
      </c>
      <c r="AR22" s="59">
        <f ca="1">IF(ISNUMBER($A22),IFERROR(AVERAGE(INDEX($E22:$X22,MATCH(Sheet1!$G$3,$E$1:$X$1,0)):INDEX($E22:$X22,MATCH(Sheet1!$G$2,$E$1:$X$1,0))),"-"),"")</f>
        <v>8.3633333333333351</v>
      </c>
      <c r="AS22" s="61">
        <f ca="1">IF(ISNUMBER($A22),COUNT(INDEX($E22:$X22,MATCH(Sheet1!$G$3,$E$1:$X$1,0)):INDEX($E22:$X22,MATCH(Sheet1!$G$2,$E$1:$X$1,0))),"")</f>
        <v>6</v>
      </c>
    </row>
    <row r="23" spans="1:45">
      <c r="A23" s="6">
        <v>4</v>
      </c>
      <c r="B23" s="7" t="s">
        <v>65</v>
      </c>
      <c r="C23" s="7" t="s">
        <v>54</v>
      </c>
      <c r="D23" s="6" t="s">
        <v>61</v>
      </c>
      <c r="E23" s="8">
        <v>9.6</v>
      </c>
      <c r="F23" s="8">
        <v>6.84</v>
      </c>
      <c r="G23" s="8">
        <v>7</v>
      </c>
      <c r="H23" s="8">
        <v>6.25</v>
      </c>
      <c r="I23" s="8">
        <v>9</v>
      </c>
      <c r="J23" s="8">
        <v>9.1999999999999993</v>
      </c>
      <c r="K23" s="8" t="s">
        <v>40</v>
      </c>
      <c r="L23" s="12">
        <v>7</v>
      </c>
      <c r="M23" s="12" t="s">
        <v>43</v>
      </c>
      <c r="N23" s="12">
        <v>8.33</v>
      </c>
      <c r="O23" s="12">
        <v>9</v>
      </c>
      <c r="P23" s="12">
        <v>8.33</v>
      </c>
      <c r="Q23" s="8">
        <v>7</v>
      </c>
      <c r="R23" s="8">
        <v>9.1999999999999993</v>
      </c>
      <c r="S23" s="13">
        <v>9.4</v>
      </c>
      <c r="T23" s="8">
        <v>9.1999999999999993</v>
      </c>
      <c r="U23" s="8">
        <f>'[1]Run Team'!C5</f>
        <v>9</v>
      </c>
      <c r="V23" s="8"/>
      <c r="W23" s="8"/>
      <c r="X23" s="8"/>
      <c r="Y23" s="8">
        <f>SUM(E23:X23)</f>
        <v>124.35000000000001</v>
      </c>
      <c r="Z23" s="8">
        <f>IFERROR(AVERAGE(E23:X23),"-")</f>
        <v>8.2900000000000009</v>
      </c>
      <c r="AB23" s="6">
        <f>AB22+1</f>
        <v>4</v>
      </c>
      <c r="AC23" s="7" t="str" cm="1">
        <f t="array" ref="AC23">INDEX(_xlfn.SORTBY($B$20:$B$35,IF(ISNUMBER($Z$20:$Z$35),$Z$20:$Z$35,-1),-1,$Y$20:$Y$35,-1),$AB23)</f>
        <v>Shreeya Shakya</v>
      </c>
      <c r="AD23" s="6" t="str">
        <f>INDEX($D$20:$D$35,MATCH($AC23,$B$20:$B$35,0))</f>
        <v>SE</v>
      </c>
      <c r="AE23" s="11">
        <f>COUNT(INDEX($E$20:$X$35,MATCH($AC23,$B$20:$B$35,0),0))</f>
        <v>17</v>
      </c>
      <c r="AF23" s="8">
        <f>INDEX($Y$20:$Y$35,MATCH($AC23,$B$20:$B$35,0))</f>
        <v>144.81000000000003</v>
      </c>
      <c r="AG23" s="8">
        <f>INDEX($Z$20:$Z$35,MATCH($AC23,$B$20:$B$35,0))</f>
        <v>8.5182352941176482</v>
      </c>
      <c r="AH23" s="11">
        <f>RANK(AG23,$AG$4:$AG$57,0)</f>
        <v>14</v>
      </c>
      <c r="AJ23" s="6">
        <f>AJ22+1</f>
        <v>4</v>
      </c>
      <c r="AK23" s="7" t="str" cm="1">
        <f t="array" aca="1" ref="AK23" ca="1">INDEX(_xlfn.SORTBY($B$20:$B$35,IF(ISNUMBER($AR$20:$AR$35),$AR$20:$AR$35,-1),-1,$AS$20:$AS$35,-1),$AJ23)</f>
        <v>Mandip Thapa</v>
      </c>
      <c r="AL23" s="6" t="str">
        <f ca="1">INDEX($D$20:$D$35,MATCH($AK23,$B$20:$B$35,0))</f>
        <v>SE</v>
      </c>
      <c r="AM23" s="11" t="str">
        <f ca="1">INDEX($C$20:$C$35,MATCH($AK23,$B$20:$B$35,0))</f>
        <v>DevOps</v>
      </c>
      <c r="AN23" s="11">
        <f ca="1">INDEX($AS$20:$AS$35,MATCH($AK23,$B$20:$B$35,0))</f>
        <v>1</v>
      </c>
      <c r="AO23" s="8">
        <f ca="1">INDEX($AR$20:$AR$35,MATCH($AK23,$B$20:$B$35,0))</f>
        <v>9</v>
      </c>
      <c r="AP23" s="11">
        <f ca="1">IF(ISNUMBER(AO23),RANK(AO23,$AO$4:$AO$57,0),"-")</f>
        <v>14</v>
      </c>
      <c r="AR23" s="59">
        <f ca="1">IF(ISNUMBER($A23),IFERROR(AVERAGE(INDEX($E23:$X23,MATCH(Sheet1!$G$3,$E$1:$X$1,0)):INDEX($E23:$X23,MATCH(Sheet1!$G$2,$E$1:$X$1,0))),"-"),"")</f>
        <v>8.6883333333333326</v>
      </c>
      <c r="AS23" s="61">
        <f ca="1">IF(ISNUMBER($A23),COUNT(INDEX($E23:$X23,MATCH(Sheet1!$G$3,$E$1:$X$1,0)):INDEX($E23:$X23,MATCH(Sheet1!$G$2,$E$1:$X$1,0))),"")</f>
        <v>6</v>
      </c>
    </row>
    <row r="24" spans="1:45">
      <c r="A24" s="6">
        <v>5</v>
      </c>
      <c r="B24" s="7" t="s">
        <v>66</v>
      </c>
      <c r="C24" s="7" t="s">
        <v>38</v>
      </c>
      <c r="D24" s="6" t="s">
        <v>61</v>
      </c>
      <c r="E24" s="8">
        <v>7.7</v>
      </c>
      <c r="F24" s="8">
        <v>7.3</v>
      </c>
      <c r="G24" s="8">
        <v>8.33</v>
      </c>
      <c r="H24" s="8">
        <v>4.49</v>
      </c>
      <c r="I24" s="8">
        <v>6.5</v>
      </c>
      <c r="J24" s="8">
        <v>6.36</v>
      </c>
      <c r="K24" s="8">
        <v>6.95</v>
      </c>
      <c r="L24" s="12">
        <v>8.33</v>
      </c>
      <c r="M24" s="12">
        <v>5.85</v>
      </c>
      <c r="N24" s="8">
        <v>7</v>
      </c>
      <c r="O24" s="8">
        <v>9.15</v>
      </c>
      <c r="P24" s="8">
        <v>9.6999999999999993</v>
      </c>
      <c r="Q24" s="8">
        <v>8.9</v>
      </c>
      <c r="R24" s="8">
        <v>7</v>
      </c>
      <c r="S24" s="13">
        <v>8.33</v>
      </c>
      <c r="T24" s="8">
        <v>8.67</v>
      </c>
      <c r="U24" s="8">
        <f>'[1]Team Bravo'!C7</f>
        <v>8.33</v>
      </c>
      <c r="V24" s="8"/>
      <c r="W24" s="8"/>
      <c r="X24" s="8"/>
      <c r="Y24" s="8">
        <f>SUM(E24:X24)</f>
        <v>128.89000000000001</v>
      </c>
      <c r="Z24" s="8">
        <f>IFERROR(AVERAGE(E24:X24),"-")</f>
        <v>7.5817647058823541</v>
      </c>
      <c r="AB24" s="6">
        <f>AB23+1</f>
        <v>5</v>
      </c>
      <c r="AC24" s="7" t="str" cm="1">
        <f t="array" ref="AC24">INDEX(_xlfn.SORTBY($B$20:$B$35,IF(ISNUMBER($Z$20:$Z$35),$Z$20:$Z$35,-1),-1,$Y$20:$Y$35,-1),$AB24)</f>
        <v>Rashik Shrestha</v>
      </c>
      <c r="AD24" s="6" t="str">
        <f>INDEX($D$20:$D$35,MATCH($AC24,$B$20:$B$35,0))</f>
        <v>SE</v>
      </c>
      <c r="AE24" s="11">
        <f>COUNT(INDEX($E$20:$X$35,MATCH($AC24,$B$20:$B$35,0),0))</f>
        <v>15</v>
      </c>
      <c r="AF24" s="8">
        <f>INDEX($Y$20:$Y$35,MATCH($AC24,$B$20:$B$35,0))</f>
        <v>124.35000000000001</v>
      </c>
      <c r="AG24" s="8">
        <f>INDEX($Z$20:$Z$35,MATCH($AC24,$B$20:$B$35,0))</f>
        <v>8.2900000000000009</v>
      </c>
      <c r="AH24" s="11">
        <f>RANK(AG24,$AG$4:$AG$57,0)</f>
        <v>16</v>
      </c>
      <c r="AJ24" s="6">
        <f>AJ23+1</f>
        <v>5</v>
      </c>
      <c r="AK24" s="7" t="str" cm="1">
        <f t="array" aca="1" ref="AK24" ca="1">INDEX(_xlfn.SORTBY($B$20:$B$35,IF(ISNUMBER($AR$20:$AR$35),$AR$20:$AR$35,-1),-1,$AS$20:$AS$35,-1),$AJ24)</f>
        <v>Sayara Dangol</v>
      </c>
      <c r="AL24" s="6" t="str">
        <f ca="1">INDEX($D$20:$D$35,MATCH($AK24,$B$20:$B$35,0))</f>
        <v>SE</v>
      </c>
      <c r="AM24" s="11" t="str">
        <f ca="1">INDEX($C$20:$C$35,MATCH($AK24,$B$20:$B$35,0))</f>
        <v>Team Bimal</v>
      </c>
      <c r="AN24" s="11">
        <f ca="1">INDEX($AS$20:$AS$35,MATCH($AK24,$B$20:$B$35,0))</f>
        <v>6</v>
      </c>
      <c r="AO24" s="8">
        <f ca="1">INDEX($AR$20:$AR$35,MATCH($AK24,$B$20:$B$35,0))</f>
        <v>8.9533333333333331</v>
      </c>
      <c r="AP24" s="11">
        <f ca="1">IF(ISNUMBER(AO24),RANK(AO24,$AO$4:$AO$57,0),"-")</f>
        <v>15</v>
      </c>
      <c r="AR24" s="59">
        <f ca="1">IF(ISNUMBER($A24),IFERROR(AVERAGE(INDEX($E24:$X24,MATCH(Sheet1!$G$3,$E$1:$X$1,0)):INDEX($E24:$X24,MATCH(Sheet1!$G$2,$E$1:$X$1,0))),"-"),"")</f>
        <v>8.4883333333333333</v>
      </c>
      <c r="AS24" s="61">
        <f ca="1">IF(ISNUMBER($A24),COUNT(INDEX($E24:$X24,MATCH(Sheet1!$G$3,$E$1:$X$1,0)):INDEX($E24:$X24,MATCH(Sheet1!$G$2,$E$1:$X$1,0))),"")</f>
        <v>6</v>
      </c>
    </row>
    <row r="25" spans="1:45">
      <c r="A25" s="6">
        <v>6</v>
      </c>
      <c r="B25" s="7" t="s">
        <v>67</v>
      </c>
      <c r="C25" s="7" t="s">
        <v>45</v>
      </c>
      <c r="D25" s="6" t="s">
        <v>61</v>
      </c>
      <c r="E25" s="8">
        <v>6.48</v>
      </c>
      <c r="F25" s="8">
        <v>8.33</v>
      </c>
      <c r="G25" s="8">
        <v>6.45</v>
      </c>
      <c r="H25" s="8">
        <v>5.48</v>
      </c>
      <c r="I25" s="8">
        <v>5.81</v>
      </c>
      <c r="J25" s="8">
        <v>7.09</v>
      </c>
      <c r="K25" s="8">
        <v>7</v>
      </c>
      <c r="L25" s="12">
        <v>6.45</v>
      </c>
      <c r="M25" s="12">
        <v>6.5</v>
      </c>
      <c r="N25" s="8">
        <v>8.6199999999999992</v>
      </c>
      <c r="O25" s="8">
        <v>9.85</v>
      </c>
      <c r="P25" s="8">
        <v>9.1</v>
      </c>
      <c r="Q25" s="8">
        <v>9.4</v>
      </c>
      <c r="R25" s="8">
        <v>9.0500000000000007</v>
      </c>
      <c r="S25" s="13">
        <v>8.9499999999999993</v>
      </c>
      <c r="T25" s="8">
        <v>9.8000000000000007</v>
      </c>
      <c r="U25" s="8">
        <f>'[1]Team Dharma'!C3</f>
        <v>8.67</v>
      </c>
      <c r="V25" s="8"/>
      <c r="W25" s="8"/>
      <c r="X25" s="8"/>
      <c r="Y25" s="8">
        <f>SUM(E25:X25)</f>
        <v>133.03</v>
      </c>
      <c r="Z25" s="8">
        <f>IFERROR(AVERAGE(E25:X25),"-")</f>
        <v>7.8252941176470587</v>
      </c>
      <c r="AB25" s="6">
        <f>AB24+1</f>
        <v>6</v>
      </c>
      <c r="AC25" s="7" t="str" cm="1">
        <f t="array" ref="AC25">INDEX(_xlfn.SORTBY($B$20:$B$35,IF(ISNUMBER($Z$20:$Z$35),$Z$20:$Z$35,-1),-1,$Y$20:$Y$35,-1),$AB25)</f>
        <v>Prajjwal Pandey</v>
      </c>
      <c r="AD25" s="6" t="str">
        <f>INDEX($D$20:$D$35,MATCH($AC25,$B$20:$B$35,0))</f>
        <v>SE</v>
      </c>
      <c r="AE25" s="11">
        <f>COUNT(INDEX($E$20:$X$35,MATCH($AC25,$B$20:$B$35,0),0))</f>
        <v>7</v>
      </c>
      <c r="AF25" s="8">
        <f>INDEX($Y$20:$Y$35,MATCH($AC25,$B$20:$B$35,0))</f>
        <v>56.53</v>
      </c>
      <c r="AG25" s="8">
        <f>INDEX($Z$20:$Z$35,MATCH($AC25,$B$20:$B$35,0))</f>
        <v>8.0757142857142856</v>
      </c>
      <c r="AH25" s="11">
        <f>RANK(AG25,$AG$4:$AG$57,0)</f>
        <v>19</v>
      </c>
      <c r="AJ25" s="6">
        <f>AJ24+1</f>
        <v>6</v>
      </c>
      <c r="AK25" s="7" t="str" cm="1">
        <f t="array" aca="1" ref="AK25" ca="1">INDEX(_xlfn.SORTBY($B$20:$B$35,IF(ISNUMBER($AR$20:$AR$35),$AR$20:$AR$35,-1),-1,$AS$20:$AS$35,-1),$AJ25)</f>
        <v>Ankit Belal</v>
      </c>
      <c r="AL25" s="6" t="str">
        <f ca="1">INDEX($D$20:$D$35,MATCH($AK25,$B$20:$B$35,0))</f>
        <v>SE</v>
      </c>
      <c r="AM25" s="11" t="str">
        <f ca="1">INDEX($C$20:$C$35,MATCH($AK25,$B$20:$B$35,0))</f>
        <v>Team Dhangadhi</v>
      </c>
      <c r="AN25" s="11">
        <f ca="1">INDEX($AS$20:$AS$35,MATCH($AK25,$B$20:$B$35,0))</f>
        <v>6</v>
      </c>
      <c r="AO25" s="8">
        <f ca="1">INDEX($AR$20:$AR$35,MATCH($AK25,$B$20:$B$35,0))</f>
        <v>8.7449999999999992</v>
      </c>
      <c r="AP25" s="11">
        <f ca="1">IF(ISNUMBER(AO25),RANK(AO25,$AO$4:$AO$57,0),"-")</f>
        <v>19</v>
      </c>
      <c r="AR25" s="59">
        <f ca="1">IF(ISNUMBER($A25),IFERROR(AVERAGE(INDEX($E25:$X25,MATCH(Sheet1!$G$3,$E$1:$X$1,0)):INDEX($E25:$X25,MATCH(Sheet1!$G$2,$E$1:$X$1,0))),"-"),"")</f>
        <v>9.1616666666666671</v>
      </c>
      <c r="AS25" s="61">
        <f ca="1">IF(ISNUMBER($A25),COUNT(INDEX($E25:$X25,MATCH(Sheet1!$G$3,$E$1:$X$1,0)):INDEX($E25:$X25,MATCH(Sheet1!$G$2,$E$1:$X$1,0))),"")</f>
        <v>6</v>
      </c>
    </row>
    <row r="26" spans="1:45">
      <c r="A26" s="6">
        <v>7</v>
      </c>
      <c r="B26" s="7" t="s">
        <v>68</v>
      </c>
      <c r="C26" s="7" t="s">
        <v>49</v>
      </c>
      <c r="D26" s="6" t="s">
        <v>61</v>
      </c>
      <c r="E26" s="8" t="s">
        <v>43</v>
      </c>
      <c r="F26" s="8" t="s">
        <v>43</v>
      </c>
      <c r="G26" s="8" t="s">
        <v>43</v>
      </c>
      <c r="H26" s="8">
        <v>5.19</v>
      </c>
      <c r="I26" s="8">
        <v>8.17</v>
      </c>
      <c r="J26" s="8">
        <v>6.5</v>
      </c>
      <c r="K26" s="8">
        <v>6.49</v>
      </c>
      <c r="L26" s="12">
        <v>6.03</v>
      </c>
      <c r="M26" s="12">
        <v>8.33</v>
      </c>
      <c r="N26" s="8">
        <v>6</v>
      </c>
      <c r="O26" s="8">
        <v>6.85</v>
      </c>
      <c r="P26" s="8">
        <v>9.8000000000000007</v>
      </c>
      <c r="Q26" s="8">
        <v>8.33</v>
      </c>
      <c r="R26" s="8">
        <v>8.6199999999999992</v>
      </c>
      <c r="S26" s="13">
        <v>9.6</v>
      </c>
      <c r="T26" s="8">
        <v>8.33</v>
      </c>
      <c r="U26" s="8">
        <f>'[1]UI Team'!C3</f>
        <v>9.0399999999999991</v>
      </c>
      <c r="V26" s="8"/>
      <c r="W26" s="8"/>
      <c r="X26" s="8"/>
      <c r="Y26" s="8">
        <f>SUM(E26:X26)</f>
        <v>107.28</v>
      </c>
      <c r="Z26" s="8">
        <f>IFERROR(AVERAGE(E26:X26),"-")</f>
        <v>7.6628571428571428</v>
      </c>
      <c r="AB26" s="6">
        <f>AB25+1</f>
        <v>7</v>
      </c>
      <c r="AC26" s="7" t="str" cm="1">
        <f t="array" ref="AC26">INDEX(_xlfn.SORTBY($B$20:$B$35,IF(ISNUMBER($Z$20:$Z$35),$Z$20:$Z$35,-1),-1,$Y$20:$Y$35,-1),$AB26)</f>
        <v>Agrim Paneru</v>
      </c>
      <c r="AD26" s="6" t="str">
        <f>INDEX($D$20:$D$35,MATCH($AC26,$B$20:$B$35,0))</f>
        <v>SE</v>
      </c>
      <c r="AE26" s="11">
        <f>COUNT(INDEX($E$20:$X$35,MATCH($AC26,$B$20:$B$35,0),0))</f>
        <v>6</v>
      </c>
      <c r="AF26" s="8">
        <f>INDEX($Y$20:$Y$35,MATCH($AC26,$B$20:$B$35,0))</f>
        <v>47.91</v>
      </c>
      <c r="AG26" s="8">
        <f>INDEX($Z$20:$Z$35,MATCH($AC26,$B$20:$B$35,0))</f>
        <v>7.9849999999999994</v>
      </c>
      <c r="AH26" s="11">
        <f>RANK(AG26,$AG$4:$AG$57,0)</f>
        <v>22</v>
      </c>
      <c r="AJ26" s="6">
        <f>AJ25+1</f>
        <v>7</v>
      </c>
      <c r="AK26" s="7" t="str" cm="1">
        <f t="array" aca="1" ref="AK26" ca="1">INDEX(_xlfn.SORTBY($B$20:$B$35,IF(ISNUMBER($AR$20:$AR$35),$AR$20:$AR$35,-1),-1,$AS$20:$AS$35,-1),$AJ26)</f>
        <v>Rashik Shrestha</v>
      </c>
      <c r="AL26" s="6" t="str">
        <f ca="1">INDEX($D$20:$D$35,MATCH($AK26,$B$20:$B$35,0))</f>
        <v>SE</v>
      </c>
      <c r="AM26" s="11" t="str">
        <f ca="1">INDEX($C$20:$C$35,MATCH($AK26,$B$20:$B$35,0))</f>
        <v>Run Team</v>
      </c>
      <c r="AN26" s="11">
        <f ca="1">INDEX($AS$20:$AS$35,MATCH($AK26,$B$20:$B$35,0))</f>
        <v>6</v>
      </c>
      <c r="AO26" s="8">
        <f ca="1">INDEX($AR$20:$AR$35,MATCH($AK26,$B$20:$B$35,0))</f>
        <v>8.6883333333333326</v>
      </c>
      <c r="AP26" s="11">
        <f ca="1">IF(ISNUMBER(AO26),RANK(AO26,$AO$4:$AO$57,0),"-")</f>
        <v>20</v>
      </c>
      <c r="AR26" s="59">
        <f ca="1">IF(ISNUMBER($A26),IFERROR(AVERAGE(INDEX($E26:$X26,MATCH(Sheet1!$G$3,$E$1:$X$1,0)):INDEX($E26:$X26,MATCH(Sheet1!$G$2,$E$1:$X$1,0))),"-"),"")</f>
        <v>8.9533333333333331</v>
      </c>
      <c r="AS26" s="61">
        <f ca="1">IF(ISNUMBER($A26),COUNT(INDEX($E26:$X26,MATCH(Sheet1!$G$3,$E$1:$X$1,0)):INDEX($E26:$X26,MATCH(Sheet1!$G$2,$E$1:$X$1,0))),"")</f>
        <v>6</v>
      </c>
    </row>
    <row r="27" spans="1:45">
      <c r="A27" s="6">
        <v>8</v>
      </c>
      <c r="B27" s="7" t="s">
        <v>69</v>
      </c>
      <c r="C27" s="7" t="s">
        <v>54</v>
      </c>
      <c r="D27" s="6" t="s">
        <v>61</v>
      </c>
      <c r="E27" s="8" t="s">
        <v>40</v>
      </c>
      <c r="F27" s="8" t="s">
        <v>40</v>
      </c>
      <c r="G27" s="8" t="s">
        <v>40</v>
      </c>
      <c r="H27" s="8" t="s">
        <v>40</v>
      </c>
      <c r="I27" s="8" t="s">
        <v>40</v>
      </c>
      <c r="J27" s="8" t="s">
        <v>40</v>
      </c>
      <c r="K27" s="8" t="s">
        <v>40</v>
      </c>
      <c r="L27" s="12">
        <v>6.4</v>
      </c>
      <c r="M27" s="12" t="s">
        <v>43</v>
      </c>
      <c r="N27" s="12">
        <v>9.8000000000000007</v>
      </c>
      <c r="O27" s="12">
        <v>10</v>
      </c>
      <c r="P27" s="12">
        <v>9</v>
      </c>
      <c r="Q27" s="8">
        <v>10</v>
      </c>
      <c r="R27" s="8">
        <v>9.1999999999999993</v>
      </c>
      <c r="S27" s="13">
        <v>8.33</v>
      </c>
      <c r="T27" s="8">
        <v>8.67</v>
      </c>
      <c r="U27" s="8">
        <f>'[1]Run Team'!C2</f>
        <v>9.4</v>
      </c>
      <c r="V27" s="8"/>
      <c r="W27" s="8"/>
      <c r="X27" s="8"/>
      <c r="Y27" s="8">
        <f>SUM(E27:X27)</f>
        <v>80.800000000000011</v>
      </c>
      <c r="Z27" s="8">
        <f>IFERROR(AVERAGE(E27:X27),"-")</f>
        <v>8.9777777777777796</v>
      </c>
      <c r="AB27" s="6">
        <f>AB26+1</f>
        <v>8</v>
      </c>
      <c r="AC27" s="7" t="str" cm="1">
        <f t="array" ref="AC27">INDEX(_xlfn.SORTBY($B$20:$B$35,IF(ISNUMBER($Z$20:$Z$35),$Z$20:$Z$35,-1),-1,$Y$20:$Y$35,-1),$AB27)</f>
        <v>Sagar Maharjan</v>
      </c>
      <c r="AD27" s="6" t="str">
        <f>INDEX($D$20:$D$35,MATCH($AC27,$B$20:$B$35,0))</f>
        <v>SE</v>
      </c>
      <c r="AE27" s="11">
        <f>COUNT(INDEX($E$20:$X$35,MATCH($AC27,$B$20:$B$35,0),0))</f>
        <v>17</v>
      </c>
      <c r="AF27" s="8">
        <f>INDEX($Y$20:$Y$35,MATCH($AC27,$B$20:$B$35,0))</f>
        <v>133.03</v>
      </c>
      <c r="AG27" s="8">
        <f>INDEX($Z$20:$Z$35,MATCH($AC27,$B$20:$B$35,0))</f>
        <v>7.8252941176470587</v>
      </c>
      <c r="AH27" s="11">
        <f>RANK(AG27,$AG$4:$AG$57,0)</f>
        <v>26</v>
      </c>
      <c r="AJ27" s="6">
        <f>AJ26+1</f>
        <v>8</v>
      </c>
      <c r="AK27" s="7" t="str" cm="1">
        <f t="array" aca="1" ref="AK27" ca="1">INDEX(_xlfn.SORTBY($B$20:$B$35,IF(ISNUMBER($AR$20:$AR$35),$AR$20:$AR$35,-1),-1,$AS$20:$AS$35,-1),$AJ27)</f>
        <v>Shreeya Shakya</v>
      </c>
      <c r="AL27" s="6" t="str">
        <f ca="1">INDEX($D$20:$D$35,MATCH($AK27,$B$20:$B$35,0))</f>
        <v>SE</v>
      </c>
      <c r="AM27" s="11" t="str">
        <f ca="1">INDEX($C$20:$C$35,MATCH($AK27,$B$20:$B$35,0))</f>
        <v>Team Bravo</v>
      </c>
      <c r="AN27" s="11">
        <f ca="1">INDEX($AS$20:$AS$35,MATCH($AK27,$B$20:$B$35,0))</f>
        <v>6</v>
      </c>
      <c r="AO27" s="8">
        <f ca="1">INDEX($AR$20:$AR$35,MATCH($AK27,$B$20:$B$35,0))</f>
        <v>8.6633333333333322</v>
      </c>
      <c r="AP27" s="11">
        <f ca="1">IF(ISNUMBER(AO27),RANK(AO27,$AO$4:$AO$57,0),"-")</f>
        <v>24</v>
      </c>
      <c r="AR27" s="59">
        <f ca="1">IF(ISNUMBER($A27),IFERROR(AVERAGE(INDEX($E27:$X27,MATCH(Sheet1!$G$3,$E$1:$X$1,0)):INDEX($E27:$X27,MATCH(Sheet1!$G$2,$E$1:$X$1,0))),"-"),"")</f>
        <v>9.1</v>
      </c>
      <c r="AS27" s="61">
        <f ca="1">IF(ISNUMBER($A27),COUNT(INDEX($E27:$X27,MATCH(Sheet1!$G$3,$E$1:$X$1,0)):INDEX($E27:$X27,MATCH(Sheet1!$G$2,$E$1:$X$1,0))),"")</f>
        <v>6</v>
      </c>
    </row>
    <row r="28" spans="1:45">
      <c r="A28" s="6">
        <v>9</v>
      </c>
      <c r="B28" s="7" t="s">
        <v>70</v>
      </c>
      <c r="C28" s="7" t="s">
        <v>51</v>
      </c>
      <c r="D28" s="6" t="s">
        <v>61</v>
      </c>
      <c r="E28" s="8">
        <v>3.75</v>
      </c>
      <c r="F28" s="8">
        <v>8.17</v>
      </c>
      <c r="G28" s="8">
        <v>6.5</v>
      </c>
      <c r="H28" s="8" t="s">
        <v>43</v>
      </c>
      <c r="I28" s="8" t="s">
        <v>43</v>
      </c>
      <c r="J28" s="8" t="s">
        <v>43</v>
      </c>
      <c r="K28" s="8">
        <v>6.87</v>
      </c>
      <c r="L28" s="8">
        <v>6.63</v>
      </c>
      <c r="M28" s="8">
        <v>6</v>
      </c>
      <c r="N28" s="8">
        <v>6</v>
      </c>
      <c r="O28" s="8">
        <v>7</v>
      </c>
      <c r="P28" s="8">
        <v>9</v>
      </c>
      <c r="Q28" s="8">
        <v>10</v>
      </c>
      <c r="R28" s="8">
        <v>9.8000000000000007</v>
      </c>
      <c r="S28" s="8">
        <v>6</v>
      </c>
      <c r="T28" s="8">
        <v>9</v>
      </c>
      <c r="U28" s="8">
        <f>'[1]Run Team'!C6</f>
        <v>8.67</v>
      </c>
      <c r="V28" s="8"/>
      <c r="W28" s="8"/>
      <c r="X28" s="8"/>
      <c r="Y28" s="8">
        <f>SUM(E28:X28)</f>
        <v>103.39</v>
      </c>
      <c r="Z28" s="8">
        <f>IFERROR(AVERAGE(E28:X28),"-")</f>
        <v>7.3849999999999998</v>
      </c>
      <c r="AB28" s="6">
        <f>AB27+1</f>
        <v>9</v>
      </c>
      <c r="AC28" s="7" t="str" cm="1">
        <f t="array" ref="AC28">INDEX(_xlfn.SORTBY($B$20:$B$35,IF(ISNUMBER($Z$20:$Z$35),$Z$20:$Z$35,-1),-1,$Y$20:$Y$35,-1),$AB28)</f>
        <v>Susmita Parajuli</v>
      </c>
      <c r="AD28" s="6" t="str">
        <f>INDEX($D$20:$D$35,MATCH($AC28,$B$20:$B$35,0))</f>
        <v>SE</v>
      </c>
      <c r="AE28" s="11">
        <f>COUNT(INDEX($E$20:$X$35,MATCH($AC28,$B$20:$B$35,0),0))</f>
        <v>17</v>
      </c>
      <c r="AF28" s="8">
        <f>INDEX($Y$20:$Y$35,MATCH($AC28,$B$20:$B$35,0))</f>
        <v>130.86000000000001</v>
      </c>
      <c r="AG28" s="8">
        <f>INDEX($Z$20:$Z$35,MATCH($AC28,$B$20:$B$35,0))</f>
        <v>7.69764705882353</v>
      </c>
      <c r="AH28" s="11">
        <f>RANK(AG28,$AG$4:$AG$57,0)</f>
        <v>29</v>
      </c>
      <c r="AJ28" s="6">
        <f>AJ27+1</f>
        <v>9</v>
      </c>
      <c r="AK28" s="7" t="str" cm="1">
        <f t="array" aca="1" ref="AK28" ca="1">INDEX(_xlfn.SORTBY($B$20:$B$35,IF(ISNUMBER($AR$20:$AR$35),$AR$20:$AR$35,-1),-1,$AS$20:$AS$35,-1),$AJ28)</f>
        <v>Aashish Katwal</v>
      </c>
      <c r="AL28" s="6" t="str">
        <f ca="1">INDEX($D$20:$D$35,MATCH($AK28,$B$20:$B$35,0))</f>
        <v>SE</v>
      </c>
      <c r="AM28" s="11" t="str">
        <f ca="1">INDEX($C$20:$C$35,MATCH($AK28,$B$20:$B$35,0))</f>
        <v>Team Bravo</v>
      </c>
      <c r="AN28" s="11">
        <f ca="1">INDEX($AS$20:$AS$35,MATCH($AK28,$B$20:$B$35,0))</f>
        <v>6</v>
      </c>
      <c r="AO28" s="8">
        <f ca="1">INDEX($AR$20:$AR$35,MATCH($AK28,$B$20:$B$35,0))</f>
        <v>8.4883333333333333</v>
      </c>
      <c r="AP28" s="11">
        <f ca="1">IF(ISNUMBER(AO28),RANK(AO28,$AO$4:$AO$57,0),"-")</f>
        <v>28</v>
      </c>
      <c r="AR28" s="59">
        <f ca="1">IF(ISNUMBER($A28),IFERROR(AVERAGE(INDEX($E28:$X28,MATCH(Sheet1!$G$3,$E$1:$X$1,0)):INDEX($E28:$X28,MATCH(Sheet1!$G$2,$E$1:$X$1,0))),"-"),"")</f>
        <v>8.7449999999999992</v>
      </c>
      <c r="AS28" s="61">
        <f ca="1">IF(ISNUMBER($A28),COUNT(INDEX($E28:$X28,MATCH(Sheet1!$G$3,$E$1:$X$1,0)):INDEX($E28:$X28,MATCH(Sheet1!$G$2,$E$1:$X$1,0))),"")</f>
        <v>6</v>
      </c>
    </row>
    <row r="29" spans="1:45">
      <c r="A29" s="6">
        <v>10</v>
      </c>
      <c r="B29" s="7" t="s">
        <v>71</v>
      </c>
      <c r="C29" s="7" t="s">
        <v>49</v>
      </c>
      <c r="D29" s="6" t="s">
        <v>61</v>
      </c>
      <c r="E29" s="8">
        <v>6</v>
      </c>
      <c r="F29" s="8">
        <v>5.33</v>
      </c>
      <c r="G29" s="8">
        <v>5.15</v>
      </c>
      <c r="H29" s="8">
        <v>6.21</v>
      </c>
      <c r="I29" s="8">
        <v>5.33</v>
      </c>
      <c r="J29" s="8">
        <v>6.29</v>
      </c>
      <c r="K29" s="8">
        <v>4.9800000000000004</v>
      </c>
      <c r="L29" s="8">
        <v>6.5</v>
      </c>
      <c r="M29" s="8">
        <v>6.65</v>
      </c>
      <c r="N29" s="8">
        <v>6.3</v>
      </c>
      <c r="O29" s="8">
        <v>8.67</v>
      </c>
      <c r="P29" s="8">
        <v>10</v>
      </c>
      <c r="Q29" s="8">
        <v>9.35</v>
      </c>
      <c r="R29" s="8">
        <v>8.6199999999999992</v>
      </c>
      <c r="S29" s="13">
        <v>7</v>
      </c>
      <c r="T29" s="8">
        <v>7</v>
      </c>
      <c r="U29" s="8">
        <f>'[1]Team Bimal'!C4</f>
        <v>6.75</v>
      </c>
      <c r="V29" s="8"/>
      <c r="W29" s="8"/>
      <c r="X29" s="8"/>
      <c r="Y29" s="8">
        <f>SUM(E29:X29)</f>
        <v>116.13</v>
      </c>
      <c r="Z29" s="8">
        <f>IFERROR(AVERAGE(E29:X29),"-")</f>
        <v>6.8311764705882352</v>
      </c>
      <c r="AB29" s="6">
        <f>AB28+1</f>
        <v>10</v>
      </c>
      <c r="AC29" s="7" t="str" cm="1">
        <f t="array" ref="AC29">INDEX(_xlfn.SORTBY($B$20:$B$35,IF(ISNUMBER($Z$20:$Z$35),$Z$20:$Z$35,-1),-1,$Y$20:$Y$35,-1),$AB29)</f>
        <v>Anmol Chalise</v>
      </c>
      <c r="AD29" s="6" t="str">
        <f>INDEX($D$20:$D$35,MATCH($AC29,$B$20:$B$35,0))</f>
        <v>SE</v>
      </c>
      <c r="AE29" s="11">
        <f>COUNT(INDEX($E$20:$X$35,MATCH($AC29,$B$20:$B$35,0),0))</f>
        <v>3</v>
      </c>
      <c r="AF29" s="8">
        <f>INDEX($Y$20:$Y$35,MATCH($AC29,$B$20:$B$35,0))</f>
        <v>23.060000000000002</v>
      </c>
      <c r="AG29" s="8">
        <f>INDEX($Z$20:$Z$35,MATCH($AC29,$B$20:$B$35,0))</f>
        <v>7.6866666666666674</v>
      </c>
      <c r="AH29" s="11">
        <f>RANK(AG29,$AG$4:$AG$57,0)</f>
        <v>30</v>
      </c>
      <c r="AJ29" s="6">
        <f>AJ28+1</f>
        <v>10</v>
      </c>
      <c r="AK29" s="7" t="str" cm="1">
        <f t="array" aca="1" ref="AK29" ca="1">INDEX(_xlfn.SORTBY($B$20:$B$35,IF(ISNUMBER($AR$20:$AR$35),$AR$20:$AR$35,-1),-1,$AS$20:$AS$35,-1),$AJ29)</f>
        <v>Prajjwal Pandey</v>
      </c>
      <c r="AL29" s="6" t="str">
        <f ca="1">INDEX($D$20:$D$35,MATCH($AK29,$B$20:$B$35,0))</f>
        <v>SE</v>
      </c>
      <c r="AM29" s="11" t="str">
        <f ca="1">INDEX($C$20:$C$35,MATCH($AK29,$B$20:$B$35,0))</f>
        <v>Team Sanjay</v>
      </c>
      <c r="AN29" s="11">
        <f ca="1">INDEX($AS$20:$AS$35,MATCH($AK29,$B$20:$B$35,0))</f>
        <v>6</v>
      </c>
      <c r="AO29" s="8">
        <f ca="1">INDEX($AR$20:$AR$35,MATCH($AK29,$B$20:$B$35,0))</f>
        <v>8.4216666666666669</v>
      </c>
      <c r="AP29" s="11">
        <f ca="1">IF(ISNUMBER(AO29),RANK(AO29,$AO$4:$AO$57,0),"-")</f>
        <v>30</v>
      </c>
      <c r="AR29" s="59">
        <f ca="1">IF(ISNUMBER($A29),IFERROR(AVERAGE(INDEX($E29:$X29,MATCH(Sheet1!$G$3,$E$1:$X$1,0)):INDEX($E29:$X29,MATCH(Sheet1!$G$2,$E$1:$X$1,0))),"-"),"")</f>
        <v>8.1199999999999992</v>
      </c>
      <c r="AS29" s="61">
        <f ca="1">IF(ISNUMBER($A29),COUNT(INDEX($E29:$X29,MATCH(Sheet1!$G$3,$E$1:$X$1,0)):INDEX($E29:$X29,MATCH(Sheet1!$G$2,$E$1:$X$1,0))),"")</f>
        <v>6</v>
      </c>
    </row>
    <row r="30" spans="1:45">
      <c r="A30" s="6">
        <v>11</v>
      </c>
      <c r="B30" s="7" t="s">
        <v>72</v>
      </c>
      <c r="C30" s="7" t="s">
        <v>45</v>
      </c>
      <c r="D30" s="6" t="s">
        <v>61</v>
      </c>
      <c r="E30" s="8">
        <v>7</v>
      </c>
      <c r="F30" s="8">
        <v>6.1</v>
      </c>
      <c r="G30" s="8">
        <v>6</v>
      </c>
      <c r="H30" s="8">
        <v>5.96</v>
      </c>
      <c r="I30" s="8">
        <v>8.6199999999999992</v>
      </c>
      <c r="J30" s="8">
        <v>4.6900000000000004</v>
      </c>
      <c r="K30" s="8">
        <v>4.5</v>
      </c>
      <c r="L30" s="8">
        <v>5.63</v>
      </c>
      <c r="M30" s="8">
        <v>4.75</v>
      </c>
      <c r="N30" s="8">
        <v>6.5</v>
      </c>
      <c r="O30" s="8">
        <v>8.2799999999999994</v>
      </c>
      <c r="P30" s="8">
        <v>8.33</v>
      </c>
      <c r="Q30" s="8">
        <v>8.2799999999999994</v>
      </c>
      <c r="R30" s="8">
        <v>8.33</v>
      </c>
      <c r="S30" s="13">
        <v>9</v>
      </c>
      <c r="T30" s="8">
        <v>6.45</v>
      </c>
      <c r="U30" s="8">
        <f>'[1]Team Dharma'!C6</f>
        <v>7</v>
      </c>
      <c r="V30" s="8"/>
      <c r="W30" s="8"/>
      <c r="X30" s="8"/>
      <c r="Y30" s="8">
        <f>SUM(E30:X30)</f>
        <v>115.42</v>
      </c>
      <c r="Z30" s="8">
        <f>IFERROR(AVERAGE(E30:X30),"-")</f>
        <v>6.789411764705882</v>
      </c>
      <c r="AB30" s="6">
        <f>AB29+1</f>
        <v>11</v>
      </c>
      <c r="AC30" s="7" t="str" cm="1">
        <f t="array" ref="AC30">INDEX(_xlfn.SORTBY($B$20:$B$35,IF(ISNUMBER($Z$20:$Z$35),$Z$20:$Z$35,-1),-1,$Y$20:$Y$35,-1),$AB30)</f>
        <v>Sayara Dangol</v>
      </c>
      <c r="AD30" s="6" t="str">
        <f>INDEX($D$20:$D$35,MATCH($AC30,$B$20:$B$35,0))</f>
        <v>SE</v>
      </c>
      <c r="AE30" s="11">
        <f>COUNT(INDEX($E$20:$X$35,MATCH($AC30,$B$20:$B$35,0),0))</f>
        <v>14</v>
      </c>
      <c r="AF30" s="8">
        <f>INDEX($Y$20:$Y$35,MATCH($AC30,$B$20:$B$35,0))</f>
        <v>107.28</v>
      </c>
      <c r="AG30" s="8">
        <f>INDEX($Z$20:$Z$35,MATCH($AC30,$B$20:$B$35,0))</f>
        <v>7.6628571428571428</v>
      </c>
      <c r="AH30" s="11">
        <f>RANK(AG30,$AG$4:$AG$57,0)</f>
        <v>31</v>
      </c>
      <c r="AJ30" s="6">
        <f>AJ29+1</f>
        <v>11</v>
      </c>
      <c r="AK30" s="7" t="str" cm="1">
        <f t="array" aca="1" ref="AK30" ca="1">INDEX(_xlfn.SORTBY($B$20:$B$35,IF(ISNUMBER($AR$20:$AR$35),$AR$20:$AR$35,-1),-1,$AS$20:$AS$35,-1),$AJ30)</f>
        <v>Susmita Parajuli</v>
      </c>
      <c r="AL30" s="6" t="str">
        <f ca="1">INDEX($D$20:$D$35,MATCH($AK30,$B$20:$B$35,0))</f>
        <v>SE</v>
      </c>
      <c r="AM30" s="11" t="str">
        <f ca="1">INDEX($C$20:$C$35,MATCH($AK30,$B$20:$B$35,0))</f>
        <v>Blaze Warrior</v>
      </c>
      <c r="AN30" s="11">
        <f ca="1">INDEX($AS$20:$AS$35,MATCH($AK30,$B$20:$B$35,0))</f>
        <v>6</v>
      </c>
      <c r="AO30" s="8">
        <f ca="1">INDEX($AR$20:$AR$35,MATCH($AK30,$B$20:$B$35,0))</f>
        <v>8.3633333333333351</v>
      </c>
      <c r="AP30" s="11">
        <f ca="1">IF(ISNUMBER(AO30),RANK(AO30,$AO$4:$AO$57,0),"-")</f>
        <v>31</v>
      </c>
      <c r="AR30" s="59">
        <f ca="1">IF(ISNUMBER($A30),IFERROR(AVERAGE(INDEX($E30:$X30,MATCH(Sheet1!$G$3,$E$1:$X$1,0)):INDEX($E30:$X30,MATCH(Sheet1!$G$2,$E$1:$X$1,0))),"-"),"")</f>
        <v>7.8983333333333334</v>
      </c>
      <c r="AS30" s="61">
        <f ca="1">IF(ISNUMBER($A30),COUNT(INDEX($E30:$X30,MATCH(Sheet1!$G$3,$E$1:$X$1,0)):INDEX($E30:$X30,MATCH(Sheet1!$G$2,$E$1:$X$1,0))),"")</f>
        <v>6</v>
      </c>
    </row>
    <row r="31" spans="1:45">
      <c r="A31" s="6">
        <v>12</v>
      </c>
      <c r="B31" s="7" t="s">
        <v>73</v>
      </c>
      <c r="C31" s="7" t="s">
        <v>47</v>
      </c>
      <c r="D31" s="6" t="s">
        <v>61</v>
      </c>
      <c r="E31" s="8" t="s">
        <v>43</v>
      </c>
      <c r="F31" s="8" t="s">
        <v>43</v>
      </c>
      <c r="G31" s="8" t="s">
        <v>43</v>
      </c>
      <c r="H31" s="8" t="s">
        <v>43</v>
      </c>
      <c r="I31" s="8" t="s">
        <v>43</v>
      </c>
      <c r="J31" s="8" t="s">
        <v>43</v>
      </c>
      <c r="K31" s="8" t="s">
        <v>43</v>
      </c>
      <c r="L31" s="8" t="s">
        <v>43</v>
      </c>
      <c r="M31" s="8" t="s">
        <v>43</v>
      </c>
      <c r="N31" s="8">
        <v>8.33</v>
      </c>
      <c r="O31" s="12">
        <v>8.33</v>
      </c>
      <c r="P31" s="8">
        <v>8.33</v>
      </c>
      <c r="Q31" s="8">
        <v>9.1999999999999993</v>
      </c>
      <c r="R31" s="8">
        <v>6.5</v>
      </c>
      <c r="S31" s="8">
        <v>6.5</v>
      </c>
      <c r="T31" s="8">
        <v>7</v>
      </c>
      <c r="U31" s="8">
        <f>'[1]Team Sanjay'!C7</f>
        <v>7</v>
      </c>
      <c r="V31" s="8"/>
      <c r="W31" s="8"/>
      <c r="X31" s="8"/>
      <c r="Y31" s="8">
        <f>SUM(E31:X31)</f>
        <v>61.19</v>
      </c>
      <c r="Z31" s="8">
        <f>IFERROR(AVERAGE(E31:X31),"-")</f>
        <v>7.6487499999999997</v>
      </c>
      <c r="AB31" s="6">
        <f>AB30+1</f>
        <v>12</v>
      </c>
      <c r="AC31" s="7" t="str" cm="1">
        <f t="array" ref="AC31">INDEX(_xlfn.SORTBY($B$20:$B$35,IF(ISNUMBER($Z$20:$Z$35),$Z$20:$Z$35,-1),-1,$Y$20:$Y$35,-1),$AB31)</f>
        <v>Aayush Puri</v>
      </c>
      <c r="AD31" s="6" t="str">
        <f>INDEX($D$20:$D$35,MATCH($AC31,$B$20:$B$35,0))</f>
        <v>SE</v>
      </c>
      <c r="AE31" s="11">
        <f>COUNT(INDEX($E$20:$X$35,MATCH($AC31,$B$20:$B$35,0),0))</f>
        <v>8</v>
      </c>
      <c r="AF31" s="8">
        <f>INDEX($Y$20:$Y$35,MATCH($AC31,$B$20:$B$35,0))</f>
        <v>61.19</v>
      </c>
      <c r="AG31" s="8">
        <f>INDEX($Z$20:$Z$35,MATCH($AC31,$B$20:$B$35,0))</f>
        <v>7.6487499999999997</v>
      </c>
      <c r="AH31" s="11">
        <f>RANK(AG31,$AG$4:$AG$57,0)</f>
        <v>32</v>
      </c>
      <c r="AJ31" s="6">
        <f>AJ30+1</f>
        <v>12</v>
      </c>
      <c r="AK31" s="7" t="str" cm="1">
        <f t="array" aca="1" ref="AK31" ca="1">INDEX(_xlfn.SORTBY($B$20:$B$35,IF(ISNUMBER($AR$20:$AR$35),$AR$20:$AR$35,-1),-1,$AS$20:$AS$35,-1),$AJ31)</f>
        <v>Anish Gho Shrestha</v>
      </c>
      <c r="AL31" s="6" t="str">
        <f ca="1">INDEX($D$20:$D$35,MATCH($AK31,$B$20:$B$35,0))</f>
        <v>SE</v>
      </c>
      <c r="AM31" s="11" t="str">
        <f ca="1">INDEX($C$20:$C$35,MATCH($AK31,$B$20:$B$35,0))</f>
        <v>Team Bimal</v>
      </c>
      <c r="AN31" s="11">
        <f ca="1">INDEX($AS$20:$AS$35,MATCH($AK31,$B$20:$B$35,0))</f>
        <v>6</v>
      </c>
      <c r="AO31" s="8">
        <f ca="1">INDEX($AR$20:$AR$35,MATCH($AK31,$B$20:$B$35,0))</f>
        <v>8.1199999999999992</v>
      </c>
      <c r="AP31" s="11">
        <f ca="1">IF(ISNUMBER(AO31),RANK(AO31,$AO$4:$AO$57,0),"-")</f>
        <v>34</v>
      </c>
      <c r="AR31" s="59">
        <f ca="1">IF(ISNUMBER($A31),IFERROR(AVERAGE(INDEX($E31:$X31,MATCH(Sheet1!$G$3,$E$1:$X$1,0)):INDEX($E31:$X31,MATCH(Sheet1!$G$2,$E$1:$X$1,0))),"-"),"")</f>
        <v>7.4216666666666669</v>
      </c>
      <c r="AS31" s="61">
        <f ca="1">IF(ISNUMBER($A31),COUNT(INDEX($E31:$X31,MATCH(Sheet1!$G$3,$E$1:$X$1,0)):INDEX($E31:$X31,MATCH(Sheet1!$G$2,$E$1:$X$1,0))),"")</f>
        <v>6</v>
      </c>
    </row>
    <row r="32" spans="1:45">
      <c r="A32" s="6">
        <v>13</v>
      </c>
      <c r="B32" t="s">
        <v>74</v>
      </c>
      <c r="C32" t="s">
        <v>47</v>
      </c>
      <c r="D32" s="6" t="s">
        <v>61</v>
      </c>
      <c r="E32" s="8" t="s">
        <v>43</v>
      </c>
      <c r="F32" s="8" t="s">
        <v>43</v>
      </c>
      <c r="G32" s="8" t="s">
        <v>43</v>
      </c>
      <c r="H32" s="8" t="s">
        <v>43</v>
      </c>
      <c r="I32" s="8" t="s">
        <v>43</v>
      </c>
      <c r="J32" s="8" t="s">
        <v>43</v>
      </c>
      <c r="K32" s="8" t="s">
        <v>43</v>
      </c>
      <c r="L32" s="8" t="s">
        <v>43</v>
      </c>
      <c r="M32" s="8" t="s">
        <v>43</v>
      </c>
      <c r="N32" s="8" t="s">
        <v>43</v>
      </c>
      <c r="O32" s="12">
        <v>6</v>
      </c>
      <c r="P32" s="8">
        <v>9.1999999999999993</v>
      </c>
      <c r="Q32" s="8">
        <v>9</v>
      </c>
      <c r="R32" s="8">
        <v>8.33</v>
      </c>
      <c r="S32" s="8">
        <v>7</v>
      </c>
      <c r="T32" s="8">
        <v>8.67</v>
      </c>
      <c r="U32" s="8">
        <f>'[1]Team Sanjay'!C4</f>
        <v>8.33</v>
      </c>
      <c r="V32" s="8"/>
      <c r="W32" s="8"/>
      <c r="X32" s="8"/>
      <c r="Y32" s="8">
        <f>SUM(E32:X32)</f>
        <v>56.53</v>
      </c>
      <c r="Z32" s="8">
        <f>IFERROR(AVERAGE(E32:X32),"-")</f>
        <v>8.0757142857142856</v>
      </c>
      <c r="AB32" s="6">
        <f>AB31+1</f>
        <v>13</v>
      </c>
      <c r="AC32" s="7" t="str" cm="1">
        <f t="array" ref="AC32">INDEX(_xlfn.SORTBY($B$20:$B$35,IF(ISNUMBER($Z$20:$Z$35),$Z$20:$Z$35,-1),-1,$Y$20:$Y$35,-1),$AB32)</f>
        <v>Aashish Katwal</v>
      </c>
      <c r="AD32" s="6" t="str">
        <f>INDEX($D$20:$D$35,MATCH($AC32,$B$20:$B$35,0))</f>
        <v>SE</v>
      </c>
      <c r="AE32" s="11">
        <f>COUNT(INDEX($E$20:$X$35,MATCH($AC32,$B$20:$B$35,0),0))</f>
        <v>17</v>
      </c>
      <c r="AF32" s="8">
        <f>INDEX($Y$20:$Y$35,MATCH($AC32,$B$20:$B$35,0))</f>
        <v>128.89000000000001</v>
      </c>
      <c r="AG32" s="8">
        <f>INDEX($Z$20:$Z$35,MATCH($AC32,$B$20:$B$35,0))</f>
        <v>7.5817647058823541</v>
      </c>
      <c r="AH32" s="11">
        <f>RANK(AG32,$AG$4:$AG$57,0)</f>
        <v>35</v>
      </c>
      <c r="AJ32" s="6">
        <f>AJ31+1</f>
        <v>13</v>
      </c>
      <c r="AK32" s="7" t="str" cm="1">
        <f t="array" aca="1" ref="AK32" ca="1">INDEX(_xlfn.SORTBY($B$20:$B$35,IF(ISNUMBER($AR$20:$AR$35),$AR$20:$AR$35,-1),-1,$AS$20:$AS$35,-1),$AJ32)</f>
        <v>Agrim Paneru</v>
      </c>
      <c r="AL32" s="6" t="str">
        <f ca="1">INDEX($D$20:$D$35,MATCH($AK32,$B$20:$B$35,0))</f>
        <v>SE</v>
      </c>
      <c r="AM32" s="11" t="str">
        <f ca="1">INDEX($C$20:$C$35,MATCH($AK32,$B$20:$B$35,0))</f>
        <v>AI Team</v>
      </c>
      <c r="AN32" s="11">
        <f ca="1">INDEX($AS$20:$AS$35,MATCH($AK32,$B$20:$B$35,0))</f>
        <v>6</v>
      </c>
      <c r="AO32" s="8">
        <f ca="1">INDEX($AR$20:$AR$35,MATCH($AK32,$B$20:$B$35,0))</f>
        <v>7.9849999999999994</v>
      </c>
      <c r="AP32" s="11">
        <f ca="1">IF(ISNUMBER(AO32),RANK(AO32,$AO$4:$AO$57,0),"-")</f>
        <v>35</v>
      </c>
      <c r="AR32" s="59">
        <f ca="1">IF(ISNUMBER($A32),IFERROR(AVERAGE(INDEX($E32:$X32,MATCH(Sheet1!$G$3,$E$1:$X$1,0)):INDEX($E32:$X32,MATCH(Sheet1!$G$2,$E$1:$X$1,0))),"-"),"")</f>
        <v>8.4216666666666669</v>
      </c>
      <c r="AS32" s="61">
        <f ca="1">IF(ISNUMBER($A32),COUNT(INDEX($E32:$X32,MATCH(Sheet1!$G$3,$E$1:$X$1,0)):INDEX($E32:$X32,MATCH(Sheet1!$G$2,$E$1:$X$1,0))),"")</f>
        <v>6</v>
      </c>
    </row>
    <row r="33" spans="1:45">
      <c r="A33" s="6">
        <v>14</v>
      </c>
      <c r="B33" s="7" t="s">
        <v>75</v>
      </c>
      <c r="C33" s="7" t="s">
        <v>76</v>
      </c>
      <c r="D33" s="6" t="s">
        <v>61</v>
      </c>
      <c r="E33" s="8" t="s">
        <v>43</v>
      </c>
      <c r="F33" s="8" t="s">
        <v>43</v>
      </c>
      <c r="G33" s="8" t="s">
        <v>43</v>
      </c>
      <c r="H33" s="8" t="s">
        <v>43</v>
      </c>
      <c r="I33" s="8" t="s">
        <v>43</v>
      </c>
      <c r="J33" s="8" t="s">
        <v>43</v>
      </c>
      <c r="K33" s="8" t="s">
        <v>43</v>
      </c>
      <c r="L33" s="8" t="s">
        <v>43</v>
      </c>
      <c r="M33" s="8" t="s">
        <v>43</v>
      </c>
      <c r="N33" s="8" t="s">
        <v>43</v>
      </c>
      <c r="O33" s="12" t="s">
        <v>43</v>
      </c>
      <c r="P33" s="8">
        <v>7</v>
      </c>
      <c r="Q33" s="8">
        <v>7</v>
      </c>
      <c r="R33" s="8">
        <v>8.1999999999999993</v>
      </c>
      <c r="S33" s="13">
        <v>7.31</v>
      </c>
      <c r="T33" s="8">
        <v>9.1999999999999993</v>
      </c>
      <c r="U33" s="8">
        <f>'[1]AI Team'!C3</f>
        <v>9.1999999999999993</v>
      </c>
      <c r="V33" s="8"/>
      <c r="W33" s="8"/>
      <c r="X33" s="8"/>
      <c r="Y33" s="8">
        <f>SUM(P33:X33)</f>
        <v>47.91</v>
      </c>
      <c r="Z33" s="8">
        <f t="shared" ref="Z33:Z34" si="0">IFERROR(AVERAGE(E33:X33),"-")</f>
        <v>7.9849999999999994</v>
      </c>
      <c r="AB33" s="6">
        <f>AB32+1</f>
        <v>14</v>
      </c>
      <c r="AC33" t="str" cm="1">
        <f t="array" ref="AC33">INDEX(_xlfn.SORTBY($B$20:$B$35,IF(ISNUMBER($Z$20:$Z$35),$Z$20:$Z$35,-1),-1,$Y$20:$Y$35,-1),$AB33)</f>
        <v>Ankit Belal</v>
      </c>
      <c r="AD33" s="6" t="str">
        <f>INDEX($D$20:$D$35,MATCH($AC33,$B$20:$B$35,0))</f>
        <v>SE</v>
      </c>
      <c r="AE33" s="11">
        <f>COUNT(INDEX($E$20:$X$35,MATCH($AC33,$B$20:$B$35,0),0))</f>
        <v>14</v>
      </c>
      <c r="AF33" s="8">
        <f>INDEX($Y$20:$Y$35,MATCH($AC33,$B$20:$B$35,0))</f>
        <v>103.39</v>
      </c>
      <c r="AG33" s="8">
        <f>INDEX($Z$20:$Z$35,MATCH($AC33,$B$20:$B$35,0))</f>
        <v>7.3849999999999998</v>
      </c>
      <c r="AH33" s="11">
        <f>RANK(AG33,$AG$4:$AG$57,0)</f>
        <v>36</v>
      </c>
      <c r="AI33" s="8"/>
      <c r="AJ33" s="6">
        <f>AJ32+1</f>
        <v>14</v>
      </c>
      <c r="AK33" t="str" cm="1">
        <f t="array" aca="1" ref="AK33" ca="1">INDEX(_xlfn.SORTBY($B$20:$B$35,IF(ISNUMBER($AR$20:$AR$35),$AR$20:$AR$35,-1),-1,$AS$20:$AS$35,-1),$AJ33)</f>
        <v>Suyog Acharya</v>
      </c>
      <c r="AL33" s="6" t="str">
        <f ca="1">INDEX($D$20:$D$35,MATCH($AK33,$B$20:$B$35,0))</f>
        <v>SE</v>
      </c>
      <c r="AM33" s="11" t="str">
        <f ca="1">INDEX($C$20:$C$35,MATCH($AK33,$B$20:$B$35,0))</f>
        <v>Blaze Warrior</v>
      </c>
      <c r="AN33" s="11">
        <f ca="1">INDEX($AS$20:$AS$35,MATCH($AK33,$B$20:$B$35,0))</f>
        <v>6</v>
      </c>
      <c r="AO33" s="8">
        <f ca="1">INDEX($AR$20:$AR$35,MATCH($AK33,$B$20:$B$35,0))</f>
        <v>7.8983333333333334</v>
      </c>
      <c r="AP33" s="11">
        <f ca="1">IF(ISNUMBER(AO33),RANK(AO33,$AO$4:$AO$57,0),"-")</f>
        <v>38</v>
      </c>
      <c r="AR33" s="59">
        <f ca="1">IF(ISNUMBER($A33),IFERROR(AVERAGE(INDEX($E33:$X33,MATCH(Sheet1!$G$3,$E$1:$X$1,0)):INDEX($E33:$X33,MATCH(Sheet1!$G$2,$E$1:$X$1,0))),"-"),"")</f>
        <v>7.9849999999999994</v>
      </c>
      <c r="AS33" s="61">
        <f ca="1">IF(ISNUMBER($A33),COUNT(INDEX($E33:$X33,MATCH(Sheet1!$G$3,$E$1:$X$1,0)):INDEX($E33:$X33,MATCH(Sheet1!$G$2,$E$1:$X$1,0))),"")</f>
        <v>6</v>
      </c>
    </row>
    <row r="34" spans="1:45">
      <c r="A34" s="6">
        <v>15</v>
      </c>
      <c r="B34" s="7" t="s">
        <v>77</v>
      </c>
      <c r="C34" s="7" t="s">
        <v>76</v>
      </c>
      <c r="D34" s="6" t="s">
        <v>61</v>
      </c>
      <c r="E34" s="8" t="s">
        <v>43</v>
      </c>
      <c r="F34" s="8" t="s">
        <v>43</v>
      </c>
      <c r="G34" s="8" t="s">
        <v>43</v>
      </c>
      <c r="H34" s="8" t="s">
        <v>43</v>
      </c>
      <c r="I34" s="8" t="s">
        <v>43</v>
      </c>
      <c r="J34" s="8" t="s">
        <v>43</v>
      </c>
      <c r="K34" s="8" t="s">
        <v>43</v>
      </c>
      <c r="L34" s="8" t="s">
        <v>43</v>
      </c>
      <c r="M34" s="8" t="s">
        <v>43</v>
      </c>
      <c r="N34" s="8" t="s">
        <v>43</v>
      </c>
      <c r="O34" s="12" t="s">
        <v>43</v>
      </c>
      <c r="P34" s="8">
        <v>8.33</v>
      </c>
      <c r="Q34" s="8">
        <v>6.5</v>
      </c>
      <c r="R34" s="8">
        <v>8.23</v>
      </c>
      <c r="S34" s="8" t="s">
        <v>43</v>
      </c>
      <c r="T34" s="8" t="s">
        <v>43</v>
      </c>
      <c r="U34" s="8" t="s">
        <v>43</v>
      </c>
      <c r="V34" s="8"/>
      <c r="W34" s="8"/>
      <c r="X34" s="8"/>
      <c r="Y34" s="8">
        <f>SUM(P34:X34)</f>
        <v>23.060000000000002</v>
      </c>
      <c r="Z34" s="8">
        <f t="shared" si="0"/>
        <v>7.6866666666666674</v>
      </c>
      <c r="AB34" s="6">
        <f>AB33+1</f>
        <v>15</v>
      </c>
      <c r="AC34" s="7" t="str" cm="1">
        <f t="array" ref="AC34">INDEX(_xlfn.SORTBY($B$20:$B$35,IF(ISNUMBER($Z$20:$Z$35),$Z$20:$Z$35,-1),-1,$Y$20:$Y$35,-1),$AB34)</f>
        <v>Anish Gho Shrestha</v>
      </c>
      <c r="AD34" s="6" t="str">
        <f>INDEX($D$20:$D$35,MATCH($AC34,$B$20:$B$35,0))</f>
        <v>SE</v>
      </c>
      <c r="AE34" s="11">
        <f>COUNT(INDEX($E$20:$X$35,MATCH($AC34,$B$20:$B$35,0),0))</f>
        <v>17</v>
      </c>
      <c r="AF34" s="8">
        <f>INDEX($Y$20:$Y$35,MATCH($AC34,$B$20:$B$35,0))</f>
        <v>116.13</v>
      </c>
      <c r="AG34" s="8">
        <f>INDEX($Z$20:$Z$35,MATCH($AC34,$B$20:$B$35,0))</f>
        <v>6.8311764705882352</v>
      </c>
      <c r="AH34" s="11">
        <f>RANK(AG34,$AG$4:$AG$57,0)</f>
        <v>44</v>
      </c>
      <c r="AJ34" s="6">
        <f>AJ33+1</f>
        <v>15</v>
      </c>
      <c r="AK34" s="7" t="str" cm="1">
        <f t="array" aca="1" ref="AK34" ca="1">INDEX(_xlfn.SORTBY($B$20:$B$35,IF(ISNUMBER($AR$20:$AR$35),$AR$20:$AR$35,-1),-1,$AS$20:$AS$35,-1),$AJ34)</f>
        <v>Anmol Chalise</v>
      </c>
      <c r="AL34" s="6" t="str">
        <f ca="1">INDEX($D$20:$D$35,MATCH($AK34,$B$20:$B$35,0))</f>
        <v>SE</v>
      </c>
      <c r="AM34" s="11" t="str">
        <f ca="1">INDEX($C$20:$C$35,MATCH($AK34,$B$20:$B$35,0))</f>
        <v>AI Team</v>
      </c>
      <c r="AN34" s="11">
        <f ca="1">INDEX($AS$20:$AS$35,MATCH($AK34,$B$20:$B$35,0))</f>
        <v>3</v>
      </c>
      <c r="AO34" s="8">
        <f ca="1">INDEX($AR$20:$AR$35,MATCH($AK34,$B$20:$B$35,0))</f>
        <v>7.6866666666666674</v>
      </c>
      <c r="AP34" s="11">
        <f ca="1">IF(ISNUMBER(AO34),RANK(AO34,$AO$4:$AO$57,0),"-")</f>
        <v>44</v>
      </c>
      <c r="AR34" s="59">
        <f ca="1">IF(ISNUMBER($A34),IFERROR(AVERAGE(INDEX($E34:$X34,MATCH(Sheet1!$G$3,$E$1:$X$1,0)):INDEX($E34:$X34,MATCH(Sheet1!$G$2,$E$1:$X$1,0))),"-"),"")</f>
        <v>7.6866666666666674</v>
      </c>
      <c r="AS34" s="61">
        <f ca="1">IF(ISNUMBER($A34),COUNT(INDEX($E34:$X34,MATCH(Sheet1!$G$3,$E$1:$X$1,0)):INDEX($E34:$X34,MATCH(Sheet1!$G$2,$E$1:$X$1,0))),"")</f>
        <v>3</v>
      </c>
    </row>
    <row r="35" spans="1:45">
      <c r="A35" s="6">
        <v>16</v>
      </c>
      <c r="B35" s="7" t="s">
        <v>78</v>
      </c>
      <c r="C35" s="7" t="s">
        <v>42</v>
      </c>
      <c r="D35" s="6" t="s">
        <v>61</v>
      </c>
      <c r="E35" s="8" t="s">
        <v>43</v>
      </c>
      <c r="F35" s="8" t="s">
        <v>43</v>
      </c>
      <c r="G35" s="8" t="s">
        <v>43</v>
      </c>
      <c r="H35" s="8" t="s">
        <v>43</v>
      </c>
      <c r="I35" s="8" t="s">
        <v>43</v>
      </c>
      <c r="J35" s="8" t="s">
        <v>43</v>
      </c>
      <c r="K35" s="8" t="s">
        <v>43</v>
      </c>
      <c r="L35" s="8" t="s">
        <v>43</v>
      </c>
      <c r="M35" s="8" t="s">
        <v>43</v>
      </c>
      <c r="N35" s="8" t="s">
        <v>43</v>
      </c>
      <c r="O35" s="12" t="s">
        <v>43</v>
      </c>
      <c r="P35" s="8" t="s">
        <v>43</v>
      </c>
      <c r="Q35" s="8" t="s">
        <v>43</v>
      </c>
      <c r="R35" s="8" t="s">
        <v>43</v>
      </c>
      <c r="S35" s="8" t="s">
        <v>43</v>
      </c>
      <c r="T35" s="8" t="s">
        <v>43</v>
      </c>
      <c r="U35" s="8">
        <f>[1]DevOps!C6</f>
        <v>9</v>
      </c>
      <c r="V35" s="8"/>
      <c r="W35" s="8"/>
      <c r="X35" s="8"/>
      <c r="Y35" s="8">
        <f>SUM(E35:X35)</f>
        <v>9</v>
      </c>
      <c r="Z35" s="8">
        <f>IFERROR(AVERAGE(E35:X35),"-")</f>
        <v>9</v>
      </c>
      <c r="AB35" s="6">
        <f>AB34+1</f>
        <v>16</v>
      </c>
      <c r="AC35" s="7" t="str" cm="1">
        <f t="array" ref="AC35">INDEX(_xlfn.SORTBY($B$20:$B$35,IF(ISNUMBER($Z$20:$Z$35),$Z$20:$Z$35,-1),-1,$Y$20:$Y$35,-1),$AB35)</f>
        <v>Suyog Acharya</v>
      </c>
      <c r="AD35" s="6" t="str">
        <f>INDEX($D$20:$D$35,MATCH($AC35,$B$20:$B$35,0))</f>
        <v>SE</v>
      </c>
      <c r="AE35" s="11">
        <f>COUNT(INDEX($E$20:$X$35,MATCH($AC35,$B$20:$B$35,0),0))</f>
        <v>17</v>
      </c>
      <c r="AF35" s="8">
        <f>INDEX($Y$20:$Y$35,MATCH($AC35,$B$20:$B$35,0))</f>
        <v>115.42</v>
      </c>
      <c r="AG35" s="8">
        <f>INDEX($Z$20:$Z$35,MATCH($AC35,$B$20:$B$35,0))</f>
        <v>6.789411764705882</v>
      </c>
      <c r="AH35" s="11">
        <f>RANK(AG35,$AG$4:$AG$57,0)</f>
        <v>47</v>
      </c>
      <c r="AJ35" s="6">
        <f>AJ34+1</f>
        <v>16</v>
      </c>
      <c r="AK35" s="7" t="str" cm="1">
        <f t="array" aca="1" ref="AK35" ca="1">INDEX(_xlfn.SORTBY($B$20:$B$35,IF(ISNUMBER($AR$20:$AR$35),$AR$20:$AR$35,-1),-1,$AS$20:$AS$35,-1),$AJ35)</f>
        <v>Aayush Puri</v>
      </c>
      <c r="AL35" s="6" t="str">
        <f ca="1">INDEX($D$20:$D$35,MATCH($AK35,$B$20:$B$35,0))</f>
        <v>SE</v>
      </c>
      <c r="AM35" s="11" t="str">
        <f ca="1">INDEX($C$20:$C$35,MATCH($AK35,$B$20:$B$35,0))</f>
        <v>Team Sanjay</v>
      </c>
      <c r="AN35" s="11">
        <f ca="1">INDEX($AS$20:$AS$35,MATCH($AK35,$B$20:$B$35,0))</f>
        <v>6</v>
      </c>
      <c r="AO35" s="8">
        <f ca="1">INDEX($AR$20:$AR$35,MATCH($AK35,$B$20:$B$35,0))</f>
        <v>7.4216666666666669</v>
      </c>
      <c r="AP35" s="11">
        <f ca="1">IF(ISNUMBER(AO35),RANK(AO35,$AO$4:$AO$57,0),"-")</f>
        <v>46</v>
      </c>
      <c r="AR35" s="59">
        <f ca="1">IF(ISNUMBER($A35),IFERROR(AVERAGE(INDEX($E35:$X35,MATCH(Sheet1!$G$3,$E$1:$X$1,0)):INDEX($E35:$X35,MATCH(Sheet1!$G$2,$E$1:$X$1,0))),"-"),"")</f>
        <v>9</v>
      </c>
      <c r="AS35" s="61">
        <f ca="1">IF(ISNUMBER($A35),COUNT(INDEX($E35:$X35,MATCH(Sheet1!$G$3,$E$1:$X$1,0)):INDEX($E35:$X35,MATCH(Sheet1!$G$2,$E$1:$X$1,0))),"")</f>
        <v>1</v>
      </c>
    </row>
    <row r="36" spans="1:45">
      <c r="AN36" s="60"/>
      <c r="AR36" s="59" t="str">
        <f>IF(ISNUMBER($A36),IFERROR(AVERAGE(INDEX($E36:$X36,MATCH(Sheet1!$G$3,$E$1:$X$1,0)):INDEX($E36:$X36,MATCH(Sheet1!$G$2,$E$1:$X$1,0))),"-"),"")</f>
        <v/>
      </c>
      <c r="AS36" s="61" t="str">
        <f>IF(ISNUMBER($A36),COUNT(INDEX($E36:$X36,MATCH(Sheet1!$G$3,$E$1:$X$1,0)):INDEX($E36:$X36,MATCH(Sheet1!$G$2,$E$1:$X$1,0))),"")</f>
        <v/>
      </c>
    </row>
    <row r="37" spans="1:45">
      <c r="A37" s="9"/>
      <c r="B37" s="5" t="s">
        <v>79</v>
      </c>
      <c r="C37" s="5"/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4"/>
      <c r="T37" s="10"/>
      <c r="U37" s="10"/>
      <c r="V37" s="10"/>
      <c r="W37" s="10"/>
      <c r="X37" s="10"/>
      <c r="Y37" s="10"/>
      <c r="Z37" s="10"/>
      <c r="AB37" s="63" t="s">
        <v>79</v>
      </c>
      <c r="AC37" s="64"/>
      <c r="AD37" s="64"/>
      <c r="AE37" s="64"/>
      <c r="AF37" s="64"/>
      <c r="AG37" s="64"/>
      <c r="AH37" s="65"/>
      <c r="AJ37" s="63" t="s">
        <v>79</v>
      </c>
      <c r="AK37" s="64"/>
      <c r="AL37" s="64"/>
      <c r="AM37" s="64"/>
      <c r="AN37" s="66"/>
      <c r="AO37" s="64"/>
      <c r="AP37" s="65"/>
      <c r="AR37" s="59" t="str">
        <f>IF(ISNUMBER($A37),IFERROR(AVERAGE(INDEX($E37:$X37,MATCH(Sheet1!$G$3,$E$1:$X$1,0)):INDEX($E37:$X37,MATCH(Sheet1!$G$2,$E$1:$X$1,0))),"-"),"")</f>
        <v/>
      </c>
      <c r="AS37" s="61" t="str">
        <f>IF(ISNUMBER($A37),COUNT(INDEX($E37:$X37,MATCH(Sheet1!$G$3,$E$1:$X$1,0)):INDEX($E37:$X37,MATCH(Sheet1!$G$2,$E$1:$X$1,0))),"")</f>
        <v/>
      </c>
    </row>
    <row r="38" spans="1:45">
      <c r="A38" s="6">
        <v>1</v>
      </c>
      <c r="B38" s="7" t="s">
        <v>80</v>
      </c>
      <c r="C38" s="7" t="s">
        <v>54</v>
      </c>
      <c r="D38" s="6" t="s">
        <v>79</v>
      </c>
      <c r="E38" s="8">
        <v>6.36</v>
      </c>
      <c r="F38" s="8">
        <v>8.67</v>
      </c>
      <c r="G38" s="8">
        <v>3.5</v>
      </c>
      <c r="H38" s="8">
        <v>5.4</v>
      </c>
      <c r="I38" s="8">
        <v>6.43</v>
      </c>
      <c r="J38" s="8">
        <v>6.6</v>
      </c>
      <c r="K38" s="8">
        <v>6.5</v>
      </c>
      <c r="L38" s="8">
        <v>8.67</v>
      </c>
      <c r="M38" s="8" t="s">
        <v>43</v>
      </c>
      <c r="N38" s="12">
        <v>9.4</v>
      </c>
      <c r="O38" s="12">
        <v>8.33</v>
      </c>
      <c r="P38" s="12">
        <v>9.4</v>
      </c>
      <c r="Q38" s="12">
        <v>8.33</v>
      </c>
      <c r="R38" s="8">
        <v>8.33</v>
      </c>
      <c r="S38" s="13">
        <v>8.9499999999999993</v>
      </c>
      <c r="T38" s="8">
        <v>8.67</v>
      </c>
      <c r="U38" s="8">
        <f>'[1]Run Team'!C3</f>
        <v>8.33</v>
      </c>
      <c r="V38" s="8"/>
      <c r="W38" s="8"/>
      <c r="X38" s="8"/>
      <c r="Y38" s="8">
        <f>SUM(E38:X38)</f>
        <v>121.87</v>
      </c>
      <c r="Z38" s="8">
        <f>IFERROR(AVERAGE(E38:X38),"-")</f>
        <v>7.6168750000000003</v>
      </c>
      <c r="AB38" s="6">
        <v>1</v>
      </c>
      <c r="AC38" s="7" t="str" cm="1">
        <f t="array" ref="AC38">INDEX(_xlfn.SORTBY($B$38:$B$57,IF(ISNUMBER($Z$38:$Z$57),$Z$38:$Z$57,-1),-1,$Y$38:$Y$57,-1),$AB38)</f>
        <v>Dilendra Thagunna</v>
      </c>
      <c r="AD38" s="6" t="str">
        <f>INDEX($D$38:$D$57,MATCH($AC38,$B$38:$B$57,0))</f>
        <v>ASE</v>
      </c>
      <c r="AE38" s="11">
        <f>COUNT(INDEX($E$38:$X$57,MATCH($AC38,$B$38:$B$57,0),0))</f>
        <v>1</v>
      </c>
      <c r="AF38" s="8">
        <f>INDEX($Y$38:$Y$57,MATCH($AC38,$B$38:$B$57,0))</f>
        <v>10</v>
      </c>
      <c r="AG38" s="8">
        <f>INDEX($Z$38:$Z$57,MATCH($AC38,$B$38:$B$57,0))</f>
        <v>10</v>
      </c>
      <c r="AH38" s="11">
        <f>RANK(AG38,$AG$4:$AG$57,0)</f>
        <v>1</v>
      </c>
      <c r="AJ38" s="6">
        <v>1</v>
      </c>
      <c r="AK38" s="7" t="str" cm="1">
        <f t="array" aca="1" ref="AK38" ca="1">INDEX(_xlfn.SORTBY($B$38:$B$57,IF(ISNUMBER($AR$38:$AR$57),$AR$38:$AR$57,-1),-1,$AS$38:$AS$57,-1),$AJ38)</f>
        <v>Dilendra Thagunna</v>
      </c>
      <c r="AL38" s="6" t="str">
        <f ca="1">INDEX($D$38:$D$57,MATCH($AK38,$B$38:$B$57,0))</f>
        <v>ASE</v>
      </c>
      <c r="AM38" s="11" t="str">
        <f ca="1">INDEX($C$38:$C$57,MATCH($AK38,$B$38:$B$57,0))</f>
        <v>AI Team</v>
      </c>
      <c r="AN38" s="11">
        <f ca="1">INDEX($AS$38:$AS$57,MATCH($AK38,$B$38:$B$57,0))</f>
        <v>1</v>
      </c>
      <c r="AO38" s="8">
        <f ca="1">INDEX($AR$38:$AR$57,MATCH($AK38,$B$38:$B$57,0))</f>
        <v>10</v>
      </c>
      <c r="AP38" s="11">
        <f ca="1">IF(ISNUMBER(AO38),RANK(AO38,$AO$4:$AO$57,0),"-")</f>
        <v>1</v>
      </c>
      <c r="AR38" s="59">
        <f ca="1">IF(ISNUMBER($A38),IFERROR(AVERAGE(INDEX($E38:$X38,MATCH(Sheet1!$G$3,$E$1:$X$1,0)):INDEX($E38:$X38,MATCH(Sheet1!$G$2,$E$1:$X$1,0))),"-"),"")</f>
        <v>8.6683333333333348</v>
      </c>
      <c r="AS38" s="61">
        <f ca="1">IF(ISNUMBER($A38),COUNT(INDEX($E38:$X38,MATCH(Sheet1!$G$3,$E$1:$X$1,0)):INDEX($E38:$X38,MATCH(Sheet1!$G$2,$E$1:$X$1,0))),"")</f>
        <v>6</v>
      </c>
    </row>
    <row r="39" spans="1:45">
      <c r="A39" s="6">
        <v>2</v>
      </c>
      <c r="B39" s="7" t="s">
        <v>81</v>
      </c>
      <c r="C39" s="7" t="s">
        <v>49</v>
      </c>
      <c r="D39" s="6" t="s">
        <v>79</v>
      </c>
      <c r="E39" s="8" t="s">
        <v>43</v>
      </c>
      <c r="F39" s="8" t="s">
        <v>43</v>
      </c>
      <c r="G39" s="8" t="s">
        <v>43</v>
      </c>
      <c r="H39" s="8" t="s">
        <v>43</v>
      </c>
      <c r="I39" s="8" t="s">
        <v>43</v>
      </c>
      <c r="J39" s="8">
        <v>7.85</v>
      </c>
      <c r="K39" s="8">
        <v>6.5</v>
      </c>
      <c r="L39" s="8">
        <v>7.67</v>
      </c>
      <c r="M39" s="8">
        <v>7</v>
      </c>
      <c r="N39" s="8">
        <v>7</v>
      </c>
      <c r="O39" s="12">
        <v>9.6</v>
      </c>
      <c r="P39" s="8">
        <v>9.4</v>
      </c>
      <c r="Q39" s="12">
        <v>9.1999999999999993</v>
      </c>
      <c r="R39" s="8">
        <v>9</v>
      </c>
      <c r="S39" s="13">
        <v>9.6</v>
      </c>
      <c r="T39" s="8">
        <v>9.1999999999999993</v>
      </c>
      <c r="U39" s="8">
        <f>'[1]Team Bimal'!C2</f>
        <v>8.33</v>
      </c>
      <c r="V39" s="8"/>
      <c r="W39" s="8"/>
      <c r="X39" s="8"/>
      <c r="Y39" s="8">
        <f>SUM(E39:X39)</f>
        <v>100.35</v>
      </c>
      <c r="Z39" s="8">
        <f>IFERROR(AVERAGE(E39:X39),"-")</f>
        <v>8.3624999999999989</v>
      </c>
      <c r="AB39" s="6">
        <f>AB38+1</f>
        <v>2</v>
      </c>
      <c r="AC39" s="7" t="str" cm="1">
        <f t="array" ref="AC39">INDEX(_xlfn.SORTBY($B$38:$B$57,IF(ISNUMBER($Z$38:$Z$57),$Z$38:$Z$57,-1),-1,$Y$38:$Y$57,-1),$AB39)</f>
        <v>Ashika Balami</v>
      </c>
      <c r="AD39" s="6" t="str">
        <f>INDEX($D$38:$D$57,MATCH($AC39,$B$38:$B$57,0))</f>
        <v>ASE</v>
      </c>
      <c r="AE39" s="11">
        <f>COUNT(INDEX($E$38:$X$57,MATCH($AC39,$B$38:$B$57,0),0))</f>
        <v>1</v>
      </c>
      <c r="AF39" s="8">
        <f>INDEX($Y$38:$Y$57,MATCH($AC39,$B$38:$B$57,0))</f>
        <v>9.8000000000000007</v>
      </c>
      <c r="AG39" s="8">
        <f>INDEX($Z$38:$Z$57,MATCH($AC39,$B$38:$B$57,0))</f>
        <v>9.8000000000000007</v>
      </c>
      <c r="AH39" s="11">
        <f>RANK(AG39,$AG$4:$AG$57,0)</f>
        <v>2</v>
      </c>
      <c r="AJ39" s="6">
        <f>AJ38+1</f>
        <v>2</v>
      </c>
      <c r="AK39" s="7" t="str" cm="1">
        <f t="array" aca="1" ref="AK39" ca="1">INDEX(_xlfn.SORTBY($B$38:$B$57,IF(ISNUMBER($AR$38:$AR$57),$AR$38:$AR$57,-1),-1,$AS$38:$AS$57,-1),$AJ39)</f>
        <v>Ashika Balami</v>
      </c>
      <c r="AL39" s="6" t="str">
        <f ca="1">INDEX($D$38:$D$57,MATCH($AK39,$B$38:$B$57,0))</f>
        <v>ASE</v>
      </c>
      <c r="AM39" s="11" t="str">
        <f ca="1">INDEX($C$38:$C$57,MATCH($AK39,$B$38:$B$57,0))</f>
        <v>Team Bravo</v>
      </c>
      <c r="AN39" s="11">
        <f ca="1">INDEX($AS$38:$AS$57,MATCH($AK39,$B$38:$B$57,0))</f>
        <v>1</v>
      </c>
      <c r="AO39" s="8">
        <f ca="1">INDEX($AR$38:$AR$57,MATCH($AK39,$B$38:$B$57,0))</f>
        <v>9.8000000000000007</v>
      </c>
      <c r="AP39" s="11">
        <f ca="1">IF(ISNUMBER(AO39),RANK(AO39,$AO$4:$AO$57,0),"-")</f>
        <v>2</v>
      </c>
      <c r="AR39" s="59">
        <f ca="1">IF(ISNUMBER($A39),IFERROR(AVERAGE(INDEX($E39:$X39,MATCH(Sheet1!$G$3,$E$1:$X$1,0)):INDEX($E39:$X39,MATCH(Sheet1!$G$2,$E$1:$X$1,0))),"-"),"")</f>
        <v>9.1216666666666679</v>
      </c>
      <c r="AS39" s="61">
        <f ca="1">IF(ISNUMBER($A39),COUNT(INDEX($E39:$X39,MATCH(Sheet1!$G$3,$E$1:$X$1,0)):INDEX($E39:$X39,MATCH(Sheet1!$G$2,$E$1:$X$1,0))),"")</f>
        <v>6</v>
      </c>
    </row>
    <row r="40" spans="1:45">
      <c r="A40" s="6">
        <v>3</v>
      </c>
      <c r="B40" s="7" t="s">
        <v>82</v>
      </c>
      <c r="C40" s="7" t="s">
        <v>51</v>
      </c>
      <c r="D40" s="6" t="s">
        <v>79</v>
      </c>
      <c r="E40" s="8" t="s">
        <v>43</v>
      </c>
      <c r="F40" s="8" t="s">
        <v>43</v>
      </c>
      <c r="G40" s="8" t="s">
        <v>43</v>
      </c>
      <c r="H40" s="8" t="s">
        <v>43</v>
      </c>
      <c r="I40" s="8" t="s">
        <v>43</v>
      </c>
      <c r="J40" s="8">
        <v>7.9</v>
      </c>
      <c r="K40" s="8">
        <v>6.6</v>
      </c>
      <c r="L40" s="8">
        <v>7</v>
      </c>
      <c r="M40" s="8">
        <v>6.5</v>
      </c>
      <c r="N40" s="8">
        <v>8.5</v>
      </c>
      <c r="O40" s="12">
        <v>9.8000000000000007</v>
      </c>
      <c r="P40" s="8">
        <v>10</v>
      </c>
      <c r="Q40" s="12">
        <v>9</v>
      </c>
      <c r="R40" s="8">
        <v>8.83</v>
      </c>
      <c r="S40" s="8">
        <v>7</v>
      </c>
      <c r="T40" s="8">
        <v>6.5</v>
      </c>
      <c r="U40" s="8">
        <f>'[1]Team Bikash'!C3</f>
        <v>6.5</v>
      </c>
      <c r="V40" s="8"/>
      <c r="W40" s="8"/>
      <c r="X40" s="8"/>
      <c r="Y40" s="8">
        <f>SUM(E40:X40)</f>
        <v>94.13</v>
      </c>
      <c r="Z40" s="8">
        <f>IFERROR(AVERAGE(E40:X40),"-")</f>
        <v>7.8441666666666663</v>
      </c>
      <c r="AB40" s="6">
        <f>AB39+1</f>
        <v>3</v>
      </c>
      <c r="AC40" s="7" t="str" cm="1">
        <f t="array" ref="AC40">INDEX(_xlfn.SORTBY($B$38:$B$57,IF(ISNUMBER($Z$38:$Z$57),$Z$38:$Z$57,-1),-1,$Y$38:$Y$57,-1),$AB40)</f>
        <v>Dipesh Kayastha</v>
      </c>
      <c r="AD40" s="6" t="str">
        <f>INDEX($D$38:$D$57,MATCH($AC40,$B$38:$B$57,0))</f>
        <v>ASE</v>
      </c>
      <c r="AE40" s="11">
        <f>COUNT(INDEX($E$38:$X$57,MATCH($AC40,$B$38:$B$57,0),0))</f>
        <v>1</v>
      </c>
      <c r="AF40" s="8">
        <f>INDEX($Y$38:$Y$57,MATCH($AC40,$B$38:$B$57,0))</f>
        <v>9.8000000000000007</v>
      </c>
      <c r="AG40" s="8">
        <f>INDEX($Z$38:$Z$57,MATCH($AC40,$B$38:$B$57,0))</f>
        <v>9.8000000000000007</v>
      </c>
      <c r="AH40" s="11">
        <f>RANK(AG40,$AG$4:$AG$57,0)</f>
        <v>2</v>
      </c>
      <c r="AJ40" s="6">
        <f>AJ39+1</f>
        <v>3</v>
      </c>
      <c r="AK40" s="7" t="str" cm="1">
        <f t="array" aca="1" ref="AK40" ca="1">INDEX(_xlfn.SORTBY($B$38:$B$57,IF(ISNUMBER($AR$38:$AR$57),$AR$38:$AR$57,-1),-1,$AS$38:$AS$57,-1),$AJ40)</f>
        <v>Dipesh Kayastha</v>
      </c>
      <c r="AL40" s="6" t="str">
        <f ca="1">INDEX($D$38:$D$57,MATCH($AK40,$B$38:$B$57,0))</f>
        <v>ASE</v>
      </c>
      <c r="AM40" s="11" t="str">
        <f ca="1">INDEX($C$38:$C$57,MATCH($AK40,$B$38:$B$57,0))</f>
        <v>Team Sanjay</v>
      </c>
      <c r="AN40" s="11">
        <f ca="1">INDEX($AS$38:$AS$57,MATCH($AK40,$B$38:$B$57,0))</f>
        <v>1</v>
      </c>
      <c r="AO40" s="8">
        <f ca="1">INDEX($AR$38:$AR$57,MATCH($AK40,$B$38:$B$57,0))</f>
        <v>9.8000000000000007</v>
      </c>
      <c r="AP40" s="11">
        <f ca="1">IF(ISNUMBER(AO40),RANK(AO40,$AO$4:$AO$57,0),"-")</f>
        <v>2</v>
      </c>
      <c r="AR40" s="59">
        <f ca="1">IF(ISNUMBER($A40),IFERROR(AVERAGE(INDEX($E40:$X40,MATCH(Sheet1!$G$3,$E$1:$X$1,0)):INDEX($E40:$X40,MATCH(Sheet1!$G$2,$E$1:$X$1,0))),"-"),"")</f>
        <v>7.9716666666666667</v>
      </c>
      <c r="AS40" s="61">
        <f ca="1">IF(ISNUMBER($A40),COUNT(INDEX($E40:$X40,MATCH(Sheet1!$G$3,$E$1:$X$1,0)):INDEX($E40:$X40,MATCH(Sheet1!$G$2,$E$1:$X$1,0))),"")</f>
        <v>6</v>
      </c>
    </row>
    <row r="41" spans="1:45">
      <c r="A41" s="6">
        <v>4</v>
      </c>
      <c r="B41" s="7" t="s">
        <v>83</v>
      </c>
      <c r="C41" s="7" t="s">
        <v>38</v>
      </c>
      <c r="D41" s="6" t="s">
        <v>79</v>
      </c>
      <c r="E41" s="8">
        <v>4.6399999999999997</v>
      </c>
      <c r="F41" s="8">
        <v>6.1</v>
      </c>
      <c r="G41" s="8">
        <v>4.79</v>
      </c>
      <c r="H41" s="8">
        <v>7.35</v>
      </c>
      <c r="I41" s="8">
        <v>10</v>
      </c>
      <c r="J41" s="8">
        <v>9.1999999999999993</v>
      </c>
      <c r="K41" s="8">
        <v>9.1</v>
      </c>
      <c r="L41" s="8">
        <v>6.27</v>
      </c>
      <c r="M41" s="8">
        <v>8.67</v>
      </c>
      <c r="N41" s="8">
        <v>10</v>
      </c>
      <c r="O41" s="12">
        <v>9.4</v>
      </c>
      <c r="P41" s="8">
        <v>9.6</v>
      </c>
      <c r="Q41" s="12">
        <v>9.1999999999999993</v>
      </c>
      <c r="R41" s="8">
        <v>8.9700000000000006</v>
      </c>
      <c r="S41" s="13">
        <v>9.6</v>
      </c>
      <c r="T41" s="8">
        <v>7</v>
      </c>
      <c r="U41" s="8">
        <f>'[1]Team Bravo'!C2</f>
        <v>8.67</v>
      </c>
      <c r="V41" s="8"/>
      <c r="W41" s="8"/>
      <c r="X41" s="8"/>
      <c r="Y41" s="8">
        <f>SUM(E41:X41)</f>
        <v>138.55999999999997</v>
      </c>
      <c r="Z41" s="8">
        <f>IFERROR(AVERAGE(E41:X41),"-")</f>
        <v>8.1505882352941157</v>
      </c>
      <c r="AB41" s="6">
        <f>AB40+1</f>
        <v>4</v>
      </c>
      <c r="AC41" s="7" t="str" cm="1">
        <f t="array" ref="AC41">INDEX(_xlfn.SORTBY($B$38:$B$57,IF(ISNUMBER($Z$38:$Z$57),$Z$38:$Z$57,-1),-1,$Y$38:$Y$57,-1),$AB41)</f>
        <v>Rashi Bhatta</v>
      </c>
      <c r="AD41" s="6" t="str">
        <f>INDEX($D$38:$D$57,MATCH($AC41,$B$38:$B$57,0))</f>
        <v>ASE</v>
      </c>
      <c r="AE41" s="11">
        <f>COUNT(INDEX($E$38:$X$57,MATCH($AC41,$B$38:$B$57,0),0))</f>
        <v>1</v>
      </c>
      <c r="AF41" s="8">
        <f>INDEX($Y$38:$Y$57,MATCH($AC41,$B$38:$B$57,0))</f>
        <v>9.1999999999999993</v>
      </c>
      <c r="AG41" s="8">
        <f>INDEX($Z$38:$Z$57,MATCH($AC41,$B$38:$B$57,0))</f>
        <v>9.1999999999999993</v>
      </c>
      <c r="AH41" s="11">
        <f>RANK(AG41,$AG$4:$AG$57,0)</f>
        <v>6</v>
      </c>
      <c r="AJ41" s="6">
        <f>AJ40+1</f>
        <v>4</v>
      </c>
      <c r="AK41" s="7" t="str" cm="1">
        <f t="array" aca="1" ref="AK41" ca="1">INDEX(_xlfn.SORTBY($B$38:$B$57,IF(ISNUMBER($AR$38:$AR$57),$AR$38:$AR$57,-1),-1,$AS$38:$AS$57,-1),$AJ41)</f>
        <v>Soniya Sharma</v>
      </c>
      <c r="AL41" s="6" t="str">
        <f ca="1">INDEX($D$38:$D$57,MATCH($AK41,$B$38:$B$57,0))</f>
        <v>ASE</v>
      </c>
      <c r="AM41" s="11" t="str">
        <f ca="1">INDEX($C$38:$C$57,MATCH($AK41,$B$38:$B$57,0))</f>
        <v>DevOps</v>
      </c>
      <c r="AN41" s="11">
        <f ca="1">INDEX($AS$38:$AS$57,MATCH($AK41,$B$38:$B$57,0))</f>
        <v>6</v>
      </c>
      <c r="AO41" s="8">
        <f ca="1">INDEX($AR$38:$AR$57,MATCH($AK41,$B$38:$B$57,0))</f>
        <v>9.2999999999999989</v>
      </c>
      <c r="AP41" s="11">
        <f ca="1">IF(ISNUMBER(AO41),RANK(AO41,$AO$4:$AO$57,0),"-")</f>
        <v>6</v>
      </c>
      <c r="AR41" s="59">
        <f ca="1">IF(ISNUMBER($A41),IFERROR(AVERAGE(INDEX($E41:$X41,MATCH(Sheet1!$G$3,$E$1:$X$1,0)):INDEX($E41:$X41,MATCH(Sheet1!$G$2,$E$1:$X$1,0))),"-"),"")</f>
        <v>8.84</v>
      </c>
      <c r="AS41" s="61">
        <f ca="1">IF(ISNUMBER($A41),COUNT(INDEX($E41:$X41,MATCH(Sheet1!$G$3,$E$1:$X$1,0)):INDEX($E41:$X41,MATCH(Sheet1!$G$2,$E$1:$X$1,0))),"")</f>
        <v>6</v>
      </c>
    </row>
    <row r="42" spans="1:45">
      <c r="A42" s="6">
        <v>5</v>
      </c>
      <c r="B42" s="7" t="s">
        <v>84</v>
      </c>
      <c r="C42" s="7" t="s">
        <v>45</v>
      </c>
      <c r="D42" s="6" t="s">
        <v>79</v>
      </c>
      <c r="E42" s="8">
        <v>6.92</v>
      </c>
      <c r="F42" s="8">
        <v>8.67</v>
      </c>
      <c r="G42" s="8">
        <v>3.61</v>
      </c>
      <c r="H42" s="8">
        <v>6.41</v>
      </c>
      <c r="I42" s="8">
        <v>4.75</v>
      </c>
      <c r="J42" s="8">
        <v>5.23</v>
      </c>
      <c r="K42" s="8">
        <v>6.6</v>
      </c>
      <c r="L42" s="8">
        <v>7.04</v>
      </c>
      <c r="M42" s="8">
        <v>4.75</v>
      </c>
      <c r="N42" s="8">
        <v>9.8000000000000007</v>
      </c>
      <c r="O42" s="12">
        <v>9</v>
      </c>
      <c r="P42" s="8">
        <v>9.4</v>
      </c>
      <c r="Q42" s="12">
        <v>6.5</v>
      </c>
      <c r="R42" s="8">
        <v>8.67</v>
      </c>
      <c r="S42" s="8">
        <v>10</v>
      </c>
      <c r="T42" s="8">
        <v>8.33</v>
      </c>
      <c r="U42" s="8">
        <f>'[1]Team Bikash'!C2</f>
        <v>9.1999999999999993</v>
      </c>
      <c r="V42" s="8"/>
      <c r="W42" s="8"/>
      <c r="X42" s="8"/>
      <c r="Y42" s="8">
        <f>SUM(E42:X42)</f>
        <v>124.88000000000001</v>
      </c>
      <c r="Z42" s="8">
        <f>IFERROR(AVERAGE(E42:X42),"-")</f>
        <v>7.3458823529411772</v>
      </c>
      <c r="AB42" s="6">
        <f>AB41+1</f>
        <v>5</v>
      </c>
      <c r="AC42" s="7" t="str" cm="1">
        <f t="array" ref="AC42">INDEX(_xlfn.SORTBY($B$38:$B$57,IF(ISNUMBER($Z$38:$Z$57),$Z$38:$Z$57,-1),-1,$Y$38:$Y$57,-1),$AB42)</f>
        <v>Soniya Sharma</v>
      </c>
      <c r="AD42" s="6" t="str">
        <f>INDEX($D$38:$D$57,MATCH($AC42,$B$38:$B$57,0))</f>
        <v>ASE</v>
      </c>
      <c r="AE42" s="11">
        <f>COUNT(INDEX($E$38:$X$57,MATCH($AC42,$B$38:$B$57,0),0))</f>
        <v>9</v>
      </c>
      <c r="AF42" s="8">
        <f>INDEX($Y$38:$Y$57,MATCH($AC42,$B$38:$B$57,0))</f>
        <v>80.220000000000013</v>
      </c>
      <c r="AG42" s="8">
        <f>INDEX($Z$38:$Z$57,MATCH($AC42,$B$38:$B$57,0))</f>
        <v>8.913333333333334</v>
      </c>
      <c r="AH42" s="11">
        <f>RANK(AG42,$AG$4:$AG$57,0)</f>
        <v>10</v>
      </c>
      <c r="AJ42" s="6">
        <f>AJ41+1</f>
        <v>5</v>
      </c>
      <c r="AK42" s="7" t="str" cm="1">
        <f t="array" aca="1" ref="AK42" ca="1">INDEX(_xlfn.SORTBY($B$38:$B$57,IF(ISNUMBER($AR$38:$AR$57),$AR$38:$AR$57,-1),-1,$AS$38:$AS$57,-1),$AJ42)</f>
        <v>Rashi Bhatta</v>
      </c>
      <c r="AL42" s="6" t="str">
        <f ca="1">INDEX($D$38:$D$57,MATCH($AK42,$B$38:$B$57,0))</f>
        <v>ASE</v>
      </c>
      <c r="AM42" s="11" t="str">
        <f ca="1">INDEX($C$38:$C$57,MATCH($AK42,$B$38:$B$57,0))</f>
        <v>DevOps</v>
      </c>
      <c r="AN42" s="11">
        <f ca="1">INDEX($AS$38:$AS$57,MATCH($AK42,$B$38:$B$57,0))</f>
        <v>1</v>
      </c>
      <c r="AO42" s="8">
        <f ca="1">INDEX($AR$38:$AR$57,MATCH($AK42,$B$38:$B$57,0))</f>
        <v>9.1999999999999993</v>
      </c>
      <c r="AP42" s="11">
        <f ca="1">IF(ISNUMBER(AO42),RANK(AO42,$AO$4:$AO$57,0),"-")</f>
        <v>8</v>
      </c>
      <c r="AR42" s="59">
        <f ca="1">IF(ISNUMBER($A42),IFERROR(AVERAGE(INDEX($E42:$X42,MATCH(Sheet1!$G$3,$E$1:$X$1,0)):INDEX($E42:$X42,MATCH(Sheet1!$G$2,$E$1:$X$1,0))),"-"),"")</f>
        <v>8.6833333333333318</v>
      </c>
      <c r="AS42" s="61">
        <f ca="1">IF(ISNUMBER($A42),COUNT(INDEX($E42:$X42,MATCH(Sheet1!$G$3,$E$1:$X$1,0)):INDEX($E42:$X42,MATCH(Sheet1!$G$2,$E$1:$X$1,0))),"")</f>
        <v>6</v>
      </c>
    </row>
    <row r="43" spans="1:45">
      <c r="A43" s="6">
        <v>6</v>
      </c>
      <c r="B43" s="7" t="s">
        <v>85</v>
      </c>
      <c r="C43" s="7" t="s">
        <v>51</v>
      </c>
      <c r="D43" s="6" t="s">
        <v>79</v>
      </c>
      <c r="E43" s="8">
        <v>6.56</v>
      </c>
      <c r="F43" s="8">
        <v>6.5</v>
      </c>
      <c r="G43" s="8">
        <v>6.58</v>
      </c>
      <c r="H43" s="8">
        <v>7</v>
      </c>
      <c r="I43" s="8">
        <v>6.5</v>
      </c>
      <c r="J43" s="8">
        <v>8.33</v>
      </c>
      <c r="K43" s="8">
        <v>4.6900000000000004</v>
      </c>
      <c r="L43" s="8">
        <v>6.08</v>
      </c>
      <c r="M43" s="8">
        <v>6</v>
      </c>
      <c r="N43" s="8">
        <v>6.5</v>
      </c>
      <c r="O43" s="12">
        <v>7</v>
      </c>
      <c r="P43" s="8">
        <v>6</v>
      </c>
      <c r="Q43" s="12">
        <v>8.67</v>
      </c>
      <c r="R43" s="8">
        <v>6.5</v>
      </c>
      <c r="S43" s="8">
        <v>9</v>
      </c>
      <c r="T43" s="8">
        <v>6.5</v>
      </c>
      <c r="U43" s="8">
        <f>'[1]Team Bikash'!C6</f>
        <v>8.67</v>
      </c>
      <c r="V43" s="8"/>
      <c r="W43" s="8"/>
      <c r="X43" s="8"/>
      <c r="Y43" s="8">
        <f>SUM(E43:X43)</f>
        <v>117.08</v>
      </c>
      <c r="Z43" s="8">
        <f>IFERROR(AVERAGE(E43:X43),"-")</f>
        <v>6.8870588235294115</v>
      </c>
      <c r="AB43" s="6">
        <f>AB42+1</f>
        <v>6</v>
      </c>
      <c r="AC43" s="7" t="str" cm="1">
        <f t="array" ref="AC43">INDEX(_xlfn.SORTBY($B$38:$B$57,IF(ISNUMBER($Z$38:$Z$57),$Z$38:$Z$57,-1),-1,$Y$38:$Y$57,-1),$AB43)</f>
        <v>Dipak Raj Giri</v>
      </c>
      <c r="AD43" s="6" t="str">
        <f>INDEX($D$38:$D$57,MATCH($AC43,$B$38:$B$57,0))</f>
        <v>ASE</v>
      </c>
      <c r="AE43" s="11">
        <f>COUNT(INDEX($E$38:$X$57,MATCH($AC43,$B$38:$B$57,0),0))</f>
        <v>6</v>
      </c>
      <c r="AF43" s="8">
        <f>INDEX($Y$38:$Y$57,MATCH($AC43,$B$38:$B$57,0))</f>
        <v>51.61</v>
      </c>
      <c r="AG43" s="8">
        <f>INDEX($Z$38:$Z$57,MATCH($AC43,$B$38:$B$57,0))</f>
        <v>8.6016666666666666</v>
      </c>
      <c r="AH43" s="11">
        <f>RANK(AG43,$AG$4:$AG$57,0)</f>
        <v>13</v>
      </c>
      <c r="AJ43" s="6">
        <f>AJ42+1</f>
        <v>6</v>
      </c>
      <c r="AK43" s="7" t="str" cm="1">
        <f t="array" aca="1" ref="AK43" ca="1">INDEX(_xlfn.SORTBY($B$38:$B$57,IF(ISNUMBER($AR$38:$AR$57),$AR$38:$AR$57,-1),-1,$AS$38:$AS$57,-1),$AJ43)</f>
        <v>Ramita Shrestha</v>
      </c>
      <c r="AL43" s="6" t="str">
        <f ca="1">INDEX($D$38:$D$57,MATCH($AK43,$B$38:$B$57,0))</f>
        <v>ASE</v>
      </c>
      <c r="AM43" s="11" t="str">
        <f ca="1">INDEX($C$38:$C$57,MATCH($AK43,$B$38:$B$57,0))</f>
        <v>Team Bimal</v>
      </c>
      <c r="AN43" s="11">
        <f ca="1">INDEX($AS$38:$AS$57,MATCH($AK43,$B$38:$B$57,0))</f>
        <v>6</v>
      </c>
      <c r="AO43" s="8">
        <f ca="1">INDEX($AR$38:$AR$57,MATCH($AK43,$B$38:$B$57,0))</f>
        <v>9.1216666666666679</v>
      </c>
      <c r="AP43" s="11">
        <f ca="1">IF(ISNUMBER(AO43),RANK(AO43,$AO$4:$AO$57,0),"-")</f>
        <v>10</v>
      </c>
      <c r="AR43" s="59">
        <f ca="1">IF(ISNUMBER($A43),IFERROR(AVERAGE(INDEX($E43:$X43,MATCH(Sheet1!$G$3,$E$1:$X$1,0)):INDEX($E43:$X43,MATCH(Sheet1!$G$2,$E$1:$X$1,0))),"-"),"")</f>
        <v>7.5566666666666675</v>
      </c>
      <c r="AS43" s="61">
        <f ca="1">IF(ISNUMBER($A43),COUNT(INDEX($E43:$X43,MATCH(Sheet1!$G$3,$E$1:$X$1,0)):INDEX($E43:$X43,MATCH(Sheet1!$G$2,$E$1:$X$1,0))),"")</f>
        <v>6</v>
      </c>
    </row>
    <row r="44" spans="1:45">
      <c r="A44" s="6">
        <v>7</v>
      </c>
      <c r="B44" s="7" t="s">
        <v>86</v>
      </c>
      <c r="C44" s="7" t="s">
        <v>51</v>
      </c>
      <c r="D44" s="6" t="s">
        <v>79</v>
      </c>
      <c r="E44" s="8">
        <v>5.9749999999999996</v>
      </c>
      <c r="F44" s="8">
        <v>8.67</v>
      </c>
      <c r="G44" s="8">
        <v>4</v>
      </c>
      <c r="H44" s="8">
        <v>7.22</v>
      </c>
      <c r="I44" s="8">
        <v>5.76</v>
      </c>
      <c r="J44" s="8">
        <v>6.08</v>
      </c>
      <c r="K44" s="8">
        <v>6.58</v>
      </c>
      <c r="L44" s="8">
        <v>5.4</v>
      </c>
      <c r="M44" s="8">
        <v>8.67</v>
      </c>
      <c r="N44" s="8">
        <v>9.6</v>
      </c>
      <c r="O44" s="12">
        <v>6.5</v>
      </c>
      <c r="P44" s="8">
        <v>8.33</v>
      </c>
      <c r="Q44" s="12">
        <v>9.4</v>
      </c>
      <c r="R44" s="8">
        <v>6.5</v>
      </c>
      <c r="S44" s="8">
        <v>8.67</v>
      </c>
      <c r="T44" s="8">
        <v>9</v>
      </c>
      <c r="U44" s="8">
        <f>'[1]Team Bikash'!C4</f>
        <v>7</v>
      </c>
      <c r="V44" s="8"/>
      <c r="W44" s="8"/>
      <c r="X44" s="8"/>
      <c r="Y44" s="8">
        <f>SUM(E44:X44)</f>
        <v>123.355</v>
      </c>
      <c r="Z44" s="8">
        <f>IFERROR(AVERAGE(E44:X44),"-")</f>
        <v>7.2561764705882359</v>
      </c>
      <c r="AB44" s="6">
        <f>AB43+1</f>
        <v>7</v>
      </c>
      <c r="AC44" s="7" t="str" cm="1">
        <f t="array" ref="AC44">INDEX(_xlfn.SORTBY($B$38:$B$57,IF(ISNUMBER($Z$38:$Z$57),$Z$38:$Z$57,-1),-1,$Y$38:$Y$57,-1),$AB44)</f>
        <v>Ramita Shrestha</v>
      </c>
      <c r="AD44" s="6" t="str">
        <f>INDEX($D$38:$D$57,MATCH($AC44,$B$38:$B$57,0))</f>
        <v>ASE</v>
      </c>
      <c r="AE44" s="11">
        <f>COUNT(INDEX($E$38:$X$57,MATCH($AC44,$B$38:$B$57,0),0))</f>
        <v>12</v>
      </c>
      <c r="AF44" s="8">
        <f>INDEX($Y$38:$Y$57,MATCH($AC44,$B$38:$B$57,0))</f>
        <v>100.35</v>
      </c>
      <c r="AG44" s="8">
        <f>INDEX($Z$38:$Z$57,MATCH($AC44,$B$38:$B$57,0))</f>
        <v>8.3624999999999989</v>
      </c>
      <c r="AH44" s="11">
        <f>RANK(AG44,$AG$4:$AG$57,0)</f>
        <v>15</v>
      </c>
      <c r="AJ44" s="6">
        <f>AJ43+1</f>
        <v>7</v>
      </c>
      <c r="AK44" s="7" t="str" cm="1">
        <f t="array" aca="1" ref="AK44" ca="1">INDEX(_xlfn.SORTBY($B$38:$B$57,IF(ISNUMBER($AR$38:$AR$57),$AR$38:$AR$57,-1),-1,$AS$38:$AS$57,-1),$AJ44)</f>
        <v>Apekshya Bam</v>
      </c>
      <c r="AL44" s="6" t="str">
        <f ca="1">INDEX($D$38:$D$57,MATCH($AK44,$B$38:$B$57,0))</f>
        <v>ASE</v>
      </c>
      <c r="AM44" s="11" t="str">
        <f ca="1">INDEX($C$38:$C$57,MATCH($AK44,$B$38:$B$57,0))</f>
        <v>Team Bimal</v>
      </c>
      <c r="AN44" s="11">
        <f ca="1">INDEX($AS$38:$AS$57,MATCH($AK44,$B$38:$B$57,0))</f>
        <v>6</v>
      </c>
      <c r="AO44" s="8">
        <f ca="1">INDEX($AR$38:$AR$57,MATCH($AK44,$B$38:$B$57,0))</f>
        <v>8.8949999999999996</v>
      </c>
      <c r="AP44" s="11">
        <f ca="1">IF(ISNUMBER(AO44),RANK(AO44,$AO$4:$AO$57,0),"-")</f>
        <v>16</v>
      </c>
      <c r="AR44" s="59">
        <f ca="1">IF(ISNUMBER($A44),IFERROR(AVERAGE(INDEX($E44:$X44,MATCH(Sheet1!$G$3,$E$1:$X$1,0)):INDEX($E44:$X44,MATCH(Sheet1!$G$2,$E$1:$X$1,0))),"-"),"")</f>
        <v>8.15</v>
      </c>
      <c r="AS44" s="61">
        <f ca="1">IF(ISNUMBER($A44),COUNT(INDEX($E44:$X44,MATCH(Sheet1!$G$3,$E$1:$X$1,0)):INDEX($E44:$X44,MATCH(Sheet1!$G$2,$E$1:$X$1,0))),"")</f>
        <v>6</v>
      </c>
    </row>
    <row r="45" spans="1:45">
      <c r="A45" s="6">
        <v>8</v>
      </c>
      <c r="B45" s="7" t="s">
        <v>87</v>
      </c>
      <c r="C45" s="7" t="s">
        <v>49</v>
      </c>
      <c r="D45" s="6" t="s">
        <v>79</v>
      </c>
      <c r="E45" s="8">
        <v>7</v>
      </c>
      <c r="F45" s="8">
        <v>8.5299999999999994</v>
      </c>
      <c r="G45" s="8">
        <v>7.77</v>
      </c>
      <c r="H45" s="8">
        <v>7.12</v>
      </c>
      <c r="I45" s="8">
        <v>6</v>
      </c>
      <c r="J45" s="8">
        <v>6.01</v>
      </c>
      <c r="K45" s="8">
        <v>5.46</v>
      </c>
      <c r="L45" s="8">
        <v>6.03</v>
      </c>
      <c r="M45" s="8">
        <v>6.31</v>
      </c>
      <c r="N45" s="8">
        <v>8.6300000000000008</v>
      </c>
      <c r="O45" s="12">
        <v>8.82</v>
      </c>
      <c r="P45" s="8">
        <v>8.67</v>
      </c>
      <c r="Q45" s="12">
        <v>8.77</v>
      </c>
      <c r="R45" s="8">
        <v>8.43</v>
      </c>
      <c r="S45" s="13">
        <v>9.4</v>
      </c>
      <c r="T45" s="8">
        <v>9.1</v>
      </c>
      <c r="U45" s="8">
        <f>'[1]Team Bimal'!C3</f>
        <v>9</v>
      </c>
      <c r="V45" s="8"/>
      <c r="W45" s="8"/>
      <c r="X45" s="8"/>
      <c r="Y45" s="8">
        <f>SUM(E45:X45)</f>
        <v>131.05000000000001</v>
      </c>
      <c r="Z45" s="8">
        <f>IFERROR(AVERAGE(E45:X45),"-")</f>
        <v>7.7088235294117657</v>
      </c>
      <c r="AB45" s="6">
        <f>AB44+1</f>
        <v>8</v>
      </c>
      <c r="AC45" s="7" t="str" cm="1">
        <f t="array" ref="AC45">INDEX(_xlfn.SORTBY($B$38:$B$57,IF(ISNUMBER($Z$38:$Z$57),$Z$38:$Z$57,-1),-1,$Y$38:$Y$57,-1),$AB45)</f>
        <v>Shishir Sharma</v>
      </c>
      <c r="AD45" s="6" t="str">
        <f>INDEX($D$38:$D$57,MATCH($AC45,$B$38:$B$57,0))</f>
        <v>ASE</v>
      </c>
      <c r="AE45" s="11">
        <f>COUNT(INDEX($E$38:$X$57,MATCH($AC45,$B$38:$B$57,0),0))</f>
        <v>17</v>
      </c>
      <c r="AF45" s="8">
        <f>INDEX($Y$38:$Y$57,MATCH($AC45,$B$38:$B$57,0))</f>
        <v>138.55999999999997</v>
      </c>
      <c r="AG45" s="8">
        <f>INDEX($Z$38:$Z$57,MATCH($AC45,$B$38:$B$57,0))</f>
        <v>8.1505882352941157</v>
      </c>
      <c r="AH45" s="11">
        <f>RANK(AG45,$AG$4:$AG$57,0)</f>
        <v>18</v>
      </c>
      <c r="AJ45" s="6">
        <f>AJ44+1</f>
        <v>8</v>
      </c>
      <c r="AK45" s="7" t="str" cm="1">
        <f t="array" aca="1" ref="AK45" ca="1">INDEX(_xlfn.SORTBY($B$38:$B$57,IF(ISNUMBER($AR$38:$AR$57),$AR$38:$AR$57,-1),-1,$AS$38:$AS$57,-1),$AJ45)</f>
        <v>Shishir Sharma</v>
      </c>
      <c r="AL45" s="6" t="str">
        <f ca="1">INDEX($D$38:$D$57,MATCH($AK45,$B$38:$B$57,0))</f>
        <v>ASE</v>
      </c>
      <c r="AM45" s="11" t="str">
        <f ca="1">INDEX($C$38:$C$57,MATCH($AK45,$B$38:$B$57,0))</f>
        <v>Team Bravo</v>
      </c>
      <c r="AN45" s="11">
        <f ca="1">INDEX($AS$38:$AS$57,MATCH($AK45,$B$38:$B$57,0))</f>
        <v>6</v>
      </c>
      <c r="AO45" s="8">
        <f ca="1">INDEX($AR$38:$AR$57,MATCH($AK45,$B$38:$B$57,0))</f>
        <v>8.84</v>
      </c>
      <c r="AP45" s="11">
        <f ca="1">IF(ISNUMBER(AO45),RANK(AO45,$AO$4:$AO$57,0),"-")</f>
        <v>17</v>
      </c>
      <c r="AR45" s="59">
        <f ca="1">IF(ISNUMBER($A45),IFERROR(AVERAGE(INDEX($E45:$X45,MATCH(Sheet1!$G$3,$E$1:$X$1,0)):INDEX($E45:$X45,MATCH(Sheet1!$G$2,$E$1:$X$1,0))),"-"),"")</f>
        <v>8.8949999999999996</v>
      </c>
      <c r="AS45" s="61">
        <f ca="1">IF(ISNUMBER($A45),COUNT(INDEX($E45:$X45,MATCH(Sheet1!$G$3,$E$1:$X$1,0)):INDEX($E45:$X45,MATCH(Sheet1!$G$2,$E$1:$X$1,0))),"")</f>
        <v>6</v>
      </c>
    </row>
    <row r="46" spans="1:45">
      <c r="A46" s="6">
        <v>9</v>
      </c>
      <c r="B46" s="7" t="s">
        <v>88</v>
      </c>
      <c r="C46" s="7" t="s">
        <v>51</v>
      </c>
      <c r="D46" s="6" t="s">
        <v>79</v>
      </c>
      <c r="E46" s="8">
        <v>5.3</v>
      </c>
      <c r="F46" s="8">
        <v>5.73</v>
      </c>
      <c r="G46" s="8">
        <v>5.93</v>
      </c>
      <c r="H46" s="8">
        <v>6.55</v>
      </c>
      <c r="I46" s="8">
        <v>4.93</v>
      </c>
      <c r="J46" s="8">
        <v>4.75</v>
      </c>
      <c r="K46" s="8">
        <v>4.45</v>
      </c>
      <c r="L46" s="8">
        <v>9.6</v>
      </c>
      <c r="M46" s="8">
        <v>6.33</v>
      </c>
      <c r="N46" s="8">
        <v>8.33</v>
      </c>
      <c r="O46" s="12">
        <v>6.5</v>
      </c>
      <c r="P46" s="8">
        <v>8.67</v>
      </c>
      <c r="Q46" s="12">
        <v>6</v>
      </c>
      <c r="R46" s="8">
        <v>8.67</v>
      </c>
      <c r="S46" s="8">
        <v>7</v>
      </c>
      <c r="T46" s="8">
        <v>8.33</v>
      </c>
      <c r="U46" s="8">
        <f>'[1]Team Bikash'!C5</f>
        <v>8.67</v>
      </c>
      <c r="V46" s="8"/>
      <c r="W46" s="8"/>
      <c r="X46" s="8"/>
      <c r="Y46" s="8">
        <f>SUM(E46:X46)</f>
        <v>115.74000000000001</v>
      </c>
      <c r="Z46" s="8">
        <f>IFERROR(AVERAGE(E46:X46),"-")</f>
        <v>6.8082352941176474</v>
      </c>
      <c r="AB46" s="6">
        <f>AB45+1</f>
        <v>9</v>
      </c>
      <c r="AC46" s="7" t="str" cm="1">
        <f t="array" ref="AC46">INDEX(_xlfn.SORTBY($B$38:$B$57,IF(ISNUMBER($Z$38:$Z$57),$Z$38:$Z$57,-1),-1,$Y$38:$Y$57,-1),$AB46)</f>
        <v xml:space="preserve">Saugat Gurung </v>
      </c>
      <c r="AD46" s="6" t="str">
        <f>INDEX($D$38:$D$57,MATCH($AC46,$B$38:$B$57,0))</f>
        <v>ASE</v>
      </c>
      <c r="AE46" s="11">
        <f>COUNT(INDEX($E$38:$X$57,MATCH($AC46,$B$38:$B$57,0),0))</f>
        <v>9</v>
      </c>
      <c r="AF46" s="8">
        <f>INDEX($Y$38:$Y$57,MATCH($AC46,$B$38:$B$57,0))</f>
        <v>71.259999999999991</v>
      </c>
      <c r="AG46" s="8">
        <f>INDEX($Z$38:$Z$57,MATCH($AC46,$B$38:$B$57,0))</f>
        <v>7.9177777777777765</v>
      </c>
      <c r="AH46" s="11">
        <f>RANK(AG46,$AG$4:$AG$57,0)</f>
        <v>23</v>
      </c>
      <c r="AJ46" s="6">
        <f>AJ45+1</f>
        <v>9</v>
      </c>
      <c r="AK46" s="7" t="str" cm="1">
        <f t="array" aca="1" ref="AK46" ca="1">INDEX(_xlfn.SORTBY($B$38:$B$57,IF(ISNUMBER($AR$38:$AR$57),$AR$38:$AR$57,-1),-1,$AS$38:$AS$57,-1),$AJ46)</f>
        <v>Surya joshi</v>
      </c>
      <c r="AL46" s="6" t="str">
        <f ca="1">INDEX($D$38:$D$57,MATCH($AK46,$B$38:$B$57,0))</f>
        <v>ASE</v>
      </c>
      <c r="AM46" s="11" t="str">
        <f ca="1">INDEX($C$38:$C$57,MATCH($AK46,$B$38:$B$57,0))</f>
        <v>Blaze Warrior</v>
      </c>
      <c r="AN46" s="11">
        <f ca="1">INDEX($AS$38:$AS$57,MATCH($AK46,$B$38:$B$57,0))</f>
        <v>6</v>
      </c>
      <c r="AO46" s="8">
        <f ca="1">INDEX($AR$38:$AR$57,MATCH($AK46,$B$38:$B$57,0))</f>
        <v>8.6833333333333318</v>
      </c>
      <c r="AP46" s="11">
        <f ca="1">IF(ISNUMBER(AO46),RANK(AO46,$AO$4:$AO$57,0),"-")</f>
        <v>21</v>
      </c>
      <c r="AR46" s="59">
        <f ca="1">IF(ISNUMBER($A46),IFERROR(AVERAGE(INDEX($E46:$X46,MATCH(Sheet1!$G$3,$E$1:$X$1,0)):INDEX($E46:$X46,MATCH(Sheet1!$G$2,$E$1:$X$1,0))),"-"),"")</f>
        <v>7.8900000000000006</v>
      </c>
      <c r="AS46" s="61">
        <f ca="1">IF(ISNUMBER($A46),COUNT(INDEX($E46:$X46,MATCH(Sheet1!$G$3,$E$1:$X$1,0)):INDEX($E46:$X46,MATCH(Sheet1!$G$2,$E$1:$X$1,0))),"")</f>
        <v>6</v>
      </c>
    </row>
    <row r="47" spans="1:45">
      <c r="A47" s="6">
        <v>10</v>
      </c>
      <c r="B47" s="7" t="s">
        <v>89</v>
      </c>
      <c r="C47" s="7" t="s">
        <v>38</v>
      </c>
      <c r="D47" s="6" t="s">
        <v>79</v>
      </c>
      <c r="E47" s="8" t="s">
        <v>43</v>
      </c>
      <c r="F47" s="8" t="s">
        <v>43</v>
      </c>
      <c r="G47" s="8" t="s">
        <v>43</v>
      </c>
      <c r="H47" s="8" t="s">
        <v>43</v>
      </c>
      <c r="I47" s="8" t="s">
        <v>43</v>
      </c>
      <c r="J47" s="8" t="s">
        <v>43</v>
      </c>
      <c r="K47" s="8" t="s">
        <v>43</v>
      </c>
      <c r="L47" s="8" t="s">
        <v>43</v>
      </c>
      <c r="M47" s="8">
        <v>6</v>
      </c>
      <c r="N47" s="8">
        <v>9</v>
      </c>
      <c r="O47" s="12">
        <v>6.9</v>
      </c>
      <c r="P47" s="8">
        <v>8.23</v>
      </c>
      <c r="Q47" s="12">
        <v>8.33</v>
      </c>
      <c r="R47" s="8">
        <v>8.08</v>
      </c>
      <c r="S47" s="13">
        <v>7</v>
      </c>
      <c r="T47" s="8">
        <v>9.1999999999999993</v>
      </c>
      <c r="U47" s="8">
        <f>'[1]Team Bravo'!C8</f>
        <v>8.52</v>
      </c>
      <c r="V47" s="8"/>
      <c r="W47" s="8"/>
      <c r="X47" s="8"/>
      <c r="Y47" s="8">
        <f>SUM(E47:X47)</f>
        <v>71.259999999999991</v>
      </c>
      <c r="Z47" s="8">
        <f>IFERROR(AVERAGE(E47:X47),"-")</f>
        <v>7.9177777777777765</v>
      </c>
      <c r="AB47" s="6">
        <f>AB46+1</f>
        <v>10</v>
      </c>
      <c r="AC47" s="7" t="str" cm="1">
        <f t="array" ref="AC47">INDEX(_xlfn.SORTBY($B$38:$B$57,IF(ISNUMBER($Z$38:$Z$57),$Z$38:$Z$57,-1),-1,$Y$38:$Y$57,-1),$AB47)</f>
        <v>Niva  Awale</v>
      </c>
      <c r="AD47" s="6" t="str">
        <f>INDEX($D$38:$D$57,MATCH($AC47,$B$38:$B$57,0))</f>
        <v>ASE</v>
      </c>
      <c r="AE47" s="11">
        <f>COUNT(INDEX($E$38:$X$57,MATCH($AC47,$B$38:$B$57,0),0))</f>
        <v>12</v>
      </c>
      <c r="AF47" s="8">
        <f>INDEX($Y$38:$Y$57,MATCH($AC47,$B$38:$B$57,0))</f>
        <v>94.13</v>
      </c>
      <c r="AG47" s="8">
        <f>INDEX($Z$38:$Z$57,MATCH($AC47,$B$38:$B$57,0))</f>
        <v>7.8441666666666663</v>
      </c>
      <c r="AH47" s="11">
        <f>RANK(AG47,$AG$4:$AG$57,0)</f>
        <v>25</v>
      </c>
      <c r="AJ47" s="6">
        <f>AJ46+1</f>
        <v>10</v>
      </c>
      <c r="AK47" s="7" t="str" cm="1">
        <f t="array" aca="1" ref="AK47" ca="1">INDEX(_xlfn.SORTBY($B$38:$B$57,IF(ISNUMBER($AR$38:$AR$57),$AR$38:$AR$57,-1),-1,$AS$38:$AS$57,-1),$AJ47)</f>
        <v>Diplov Khatri</v>
      </c>
      <c r="AL47" s="6" t="str">
        <f ca="1">INDEX($D$38:$D$57,MATCH($AK47,$B$38:$B$57,0))</f>
        <v>ASE</v>
      </c>
      <c r="AM47" s="11" t="str">
        <f ca="1">INDEX($C$38:$C$57,MATCH($AK47,$B$38:$B$57,0))</f>
        <v>Run Team</v>
      </c>
      <c r="AN47" s="11">
        <f ca="1">INDEX($AS$38:$AS$57,MATCH($AK47,$B$38:$B$57,0))</f>
        <v>6</v>
      </c>
      <c r="AO47" s="8">
        <f ca="1">INDEX($AR$38:$AR$57,MATCH($AK47,$B$38:$B$57,0))</f>
        <v>8.6683333333333348</v>
      </c>
      <c r="AP47" s="11">
        <f ca="1">IF(ISNUMBER(AO47),RANK(AO47,$AO$4:$AO$57,0),"-")</f>
        <v>22</v>
      </c>
      <c r="AR47" s="59">
        <f ca="1">IF(ISNUMBER($A47),IFERROR(AVERAGE(INDEX($E47:$X47,MATCH(Sheet1!$G$3,$E$1:$X$1,0)):INDEX($E47:$X47,MATCH(Sheet1!$G$2,$E$1:$X$1,0))),"-"),"")</f>
        <v>8.2266666666666666</v>
      </c>
      <c r="AS47" s="61">
        <f ca="1">IF(ISNUMBER($A47),COUNT(INDEX($E47:$X47,MATCH(Sheet1!$G$3,$E$1:$X$1,0)):INDEX($E47:$X47,MATCH(Sheet1!$G$2,$E$1:$X$1,0))),"")</f>
        <v>6</v>
      </c>
    </row>
    <row r="48" spans="1:45">
      <c r="A48" s="6">
        <v>11</v>
      </c>
      <c r="B48" s="7" t="s">
        <v>90</v>
      </c>
      <c r="C48" s="7" t="s">
        <v>42</v>
      </c>
      <c r="D48" s="6" t="s">
        <v>79</v>
      </c>
      <c r="E48" s="8" t="s">
        <v>43</v>
      </c>
      <c r="F48" s="8" t="s">
        <v>43</v>
      </c>
      <c r="G48" s="8" t="s">
        <v>43</v>
      </c>
      <c r="H48" s="8" t="s">
        <v>43</v>
      </c>
      <c r="I48" s="8" t="s">
        <v>43</v>
      </c>
      <c r="J48" s="8" t="s">
        <v>43</v>
      </c>
      <c r="K48" s="8" t="s">
        <v>43</v>
      </c>
      <c r="L48" s="8" t="s">
        <v>43</v>
      </c>
      <c r="M48" s="8">
        <v>6.49</v>
      </c>
      <c r="N48" s="8">
        <v>8.33</v>
      </c>
      <c r="O48" s="12">
        <v>9.6</v>
      </c>
      <c r="P48" s="8">
        <v>7</v>
      </c>
      <c r="Q48" s="12">
        <v>9.6</v>
      </c>
      <c r="R48" s="8">
        <v>10</v>
      </c>
      <c r="S48" s="13">
        <v>10</v>
      </c>
      <c r="T48" s="8">
        <v>10</v>
      </c>
      <c r="U48" s="8">
        <f>[1]DevOps!C4</f>
        <v>9.1999999999999993</v>
      </c>
      <c r="V48" s="8"/>
      <c r="W48" s="8"/>
      <c r="X48" s="8"/>
      <c r="Y48" s="8">
        <f>SUM(E48:X48)</f>
        <v>80.220000000000013</v>
      </c>
      <c r="Z48" s="8">
        <f>IFERROR(AVERAGE(E48:X48),"-")</f>
        <v>8.913333333333334</v>
      </c>
      <c r="AB48" s="6">
        <f>AB47+1</f>
        <v>11</v>
      </c>
      <c r="AC48" s="7" t="str" cm="1">
        <f t="array" ref="AC48">INDEX(_xlfn.SORTBY($B$38:$B$57,IF(ISNUMBER($Z$38:$Z$57),$Z$38:$Z$57,-1),-1,$Y$38:$Y$57,-1),$AB48)</f>
        <v>Apekshya Bam</v>
      </c>
      <c r="AD48" s="6" t="str">
        <f>INDEX($D$38:$D$57,MATCH($AC48,$B$38:$B$57,0))</f>
        <v>ASE</v>
      </c>
      <c r="AE48" s="11">
        <f>COUNT(INDEX($E$38:$X$57,MATCH($AC48,$B$38:$B$57,0),0))</f>
        <v>17</v>
      </c>
      <c r="AF48" s="8">
        <f>INDEX($Y$38:$Y$57,MATCH($AC48,$B$38:$B$57,0))</f>
        <v>131.05000000000001</v>
      </c>
      <c r="AG48" s="8">
        <f>INDEX($Z$38:$Z$57,MATCH($AC48,$B$38:$B$57,0))</f>
        <v>7.7088235294117657</v>
      </c>
      <c r="AH48" s="11">
        <f>RANK(AG48,$AG$4:$AG$57,0)</f>
        <v>28</v>
      </c>
      <c r="AJ48" s="6">
        <f>AJ47+1</f>
        <v>11</v>
      </c>
      <c r="AK48" s="7" t="str" cm="1">
        <f t="array" aca="1" ref="AK48" ca="1">INDEX(_xlfn.SORTBY($B$38:$B$57,IF(ISNUMBER($AR$38:$AR$57),$AR$38:$AR$57,-1),-1,$AS$38:$AS$57,-1),$AJ48)</f>
        <v>Aayush Pradhan</v>
      </c>
      <c r="AL48" s="6" t="str">
        <f ca="1">INDEX($D$38:$D$57,MATCH($AK48,$B$38:$B$57,0))</f>
        <v>ASE</v>
      </c>
      <c r="AM48" s="11" t="str">
        <f ca="1">INDEX($C$38:$C$57,MATCH($AK48,$B$38:$B$57,0))</f>
        <v>Team Sanjay</v>
      </c>
      <c r="AN48" s="11">
        <f ca="1">INDEX($AS$38:$AS$57,MATCH($AK48,$B$38:$B$57,0))</f>
        <v>6</v>
      </c>
      <c r="AO48" s="8">
        <f ca="1">INDEX($AR$38:$AR$57,MATCH($AK48,$B$38:$B$57,0))</f>
        <v>8.6666666666666661</v>
      </c>
      <c r="AP48" s="11">
        <f ca="1">IF(ISNUMBER(AO48),RANK(AO48,$AO$4:$AO$57,0),"-")</f>
        <v>23</v>
      </c>
      <c r="AR48" s="59">
        <f ca="1">IF(ISNUMBER($A48),IFERROR(AVERAGE(INDEX($E48:$X48,MATCH(Sheet1!$G$3,$E$1:$X$1,0)):INDEX($E48:$X48,MATCH(Sheet1!$G$2,$E$1:$X$1,0))),"-"),"")</f>
        <v>9.2999999999999989</v>
      </c>
      <c r="AS48" s="61">
        <f ca="1">IF(ISNUMBER($A48),COUNT(INDEX($E48:$X48,MATCH(Sheet1!$G$3,$E$1:$X$1,0)):INDEX($E48:$X48,MATCH(Sheet1!$G$2,$E$1:$X$1,0))),"")</f>
        <v>6</v>
      </c>
    </row>
    <row r="49" spans="1:45">
      <c r="A49" s="6">
        <v>12</v>
      </c>
      <c r="B49" s="7" t="s">
        <v>91</v>
      </c>
      <c r="C49" s="7" t="s">
        <v>47</v>
      </c>
      <c r="D49" s="6" t="s">
        <v>79</v>
      </c>
      <c r="E49" s="8">
        <v>6.2</v>
      </c>
      <c r="F49" s="8">
        <v>4.97</v>
      </c>
      <c r="G49" s="8">
        <v>6.66</v>
      </c>
      <c r="H49" s="8">
        <v>5.65</v>
      </c>
      <c r="I49" s="8">
        <v>3.95</v>
      </c>
      <c r="J49" s="8">
        <v>5.98</v>
      </c>
      <c r="K49" s="8">
        <v>6.87</v>
      </c>
      <c r="L49" s="8">
        <v>8.33</v>
      </c>
      <c r="M49" s="8">
        <v>6.55</v>
      </c>
      <c r="N49" s="8">
        <v>6.5</v>
      </c>
      <c r="O49" s="12">
        <v>8.33</v>
      </c>
      <c r="P49" s="8">
        <v>9</v>
      </c>
      <c r="Q49" s="12">
        <v>8.33</v>
      </c>
      <c r="R49" s="8">
        <v>8.33</v>
      </c>
      <c r="S49" s="8">
        <v>8.67</v>
      </c>
      <c r="T49" s="8">
        <v>8.67</v>
      </c>
      <c r="U49" s="8">
        <f>'[1]Team Sanjay'!C3</f>
        <v>9</v>
      </c>
      <c r="V49" s="8"/>
      <c r="W49" s="8"/>
      <c r="X49" s="8"/>
      <c r="Y49" s="8">
        <f>SUM(E49:X49)</f>
        <v>121.99</v>
      </c>
      <c r="Z49" s="8">
        <f>IFERROR(AVERAGE(E49:X49),"-")</f>
        <v>7.1758823529411764</v>
      </c>
      <c r="AB49" s="6">
        <f>AB48+1</f>
        <v>12</v>
      </c>
      <c r="AC49" s="7" t="str" cm="1">
        <f t="array" ref="AC49">INDEX(_xlfn.SORTBY($B$38:$B$57,IF(ISNUMBER($Z$38:$Z$57),$Z$38:$Z$57,-1),-1,$Y$38:$Y$57,-1),$AB49)</f>
        <v>Swayam Ghimire</v>
      </c>
      <c r="AD49" s="6" t="str">
        <f>INDEX($D$38:$D$57,MATCH($AC49,$B$38:$B$57,0))</f>
        <v>ASE</v>
      </c>
      <c r="AE49" s="11">
        <f>COUNT(INDEX($E$38:$X$57,MATCH($AC49,$B$38:$B$57,0),0))</f>
        <v>8</v>
      </c>
      <c r="AF49" s="8">
        <f>INDEX($Y$38:$Y$57,MATCH($AC49,$B$38:$B$57,0))</f>
        <v>61.19</v>
      </c>
      <c r="AG49" s="8">
        <f>INDEX($Z$38:$Z$57,MATCH($AC49,$B$38:$B$57,0))</f>
        <v>7.6487499999999997</v>
      </c>
      <c r="AH49" s="11">
        <f>RANK(AG49,$AG$4:$AG$57,0)</f>
        <v>32</v>
      </c>
      <c r="AJ49" s="6">
        <f>AJ48+1</f>
        <v>12</v>
      </c>
      <c r="AK49" s="7" t="str" cm="1">
        <f t="array" aca="1" ref="AK49" ca="1">INDEX(_xlfn.SORTBY($B$38:$B$57,IF(ISNUMBER($AR$38:$AR$57),$AR$38:$AR$57,-1),-1,$AS$38:$AS$57,-1),$AJ49)</f>
        <v>Dipak Raj Giri</v>
      </c>
      <c r="AL49" s="6" t="str">
        <f ca="1">INDEX($D$38:$D$57,MATCH($AK49,$B$38:$B$57,0))</f>
        <v>ASE</v>
      </c>
      <c r="AM49" s="11" t="str">
        <f ca="1">INDEX($C$38:$C$57,MATCH($AK49,$B$38:$B$57,0))</f>
        <v>Team Bimal</v>
      </c>
      <c r="AN49" s="11">
        <f ca="1">INDEX($AS$38:$AS$57,MATCH($AK49,$B$38:$B$57,0))</f>
        <v>6</v>
      </c>
      <c r="AO49" s="8">
        <f ca="1">INDEX($AR$38:$AR$57,MATCH($AK49,$B$38:$B$57,0))</f>
        <v>8.6016666666666666</v>
      </c>
      <c r="AP49" s="11">
        <f ca="1">IF(ISNUMBER(AO49),RANK(AO49,$AO$4:$AO$57,0),"-")</f>
        <v>26</v>
      </c>
      <c r="AR49" s="59">
        <f ca="1">IF(ISNUMBER($A49),IFERROR(AVERAGE(INDEX($E49:$X49,MATCH(Sheet1!$G$3,$E$1:$X$1,0)):INDEX($E49:$X49,MATCH(Sheet1!$G$2,$E$1:$X$1,0))),"-"),"")</f>
        <v>8.6666666666666661</v>
      </c>
      <c r="AS49" s="61">
        <f ca="1">IF(ISNUMBER($A49),COUNT(INDEX($E49:$X49,MATCH(Sheet1!$G$3,$E$1:$X$1,0)):INDEX($E49:$X49,MATCH(Sheet1!$G$2,$E$1:$X$1,0))),"")</f>
        <v>6</v>
      </c>
    </row>
    <row r="50" spans="1:45">
      <c r="A50" s="6">
        <v>13</v>
      </c>
      <c r="B50" s="7" t="s">
        <v>92</v>
      </c>
      <c r="C50" s="7" t="s">
        <v>47</v>
      </c>
      <c r="D50" s="6" t="s">
        <v>79</v>
      </c>
      <c r="E50" s="8" t="s">
        <v>43</v>
      </c>
      <c r="F50" s="8" t="s">
        <v>43</v>
      </c>
      <c r="G50" s="8" t="s">
        <v>43</v>
      </c>
      <c r="H50" s="8" t="s">
        <v>43</v>
      </c>
      <c r="I50" s="8" t="s">
        <v>43</v>
      </c>
      <c r="J50" s="8" t="s">
        <v>43</v>
      </c>
      <c r="K50" s="8" t="s">
        <v>43</v>
      </c>
      <c r="L50" s="8" t="s">
        <v>43</v>
      </c>
      <c r="M50" s="8" t="s">
        <v>43</v>
      </c>
      <c r="N50" s="8">
        <v>6</v>
      </c>
      <c r="O50" s="12">
        <v>8.33</v>
      </c>
      <c r="P50" s="8">
        <v>7</v>
      </c>
      <c r="Q50" s="12">
        <v>9.1999999999999993</v>
      </c>
      <c r="R50" s="8">
        <v>8.33</v>
      </c>
      <c r="S50" s="8">
        <v>7</v>
      </c>
      <c r="T50" s="8">
        <v>7</v>
      </c>
      <c r="U50" s="8">
        <f>'[1]Team Sanjay'!C6</f>
        <v>8.33</v>
      </c>
      <c r="V50" s="8"/>
      <c r="W50" s="8"/>
      <c r="X50" s="8"/>
      <c r="Y50" s="8">
        <f>SUM(E50:X50)</f>
        <v>61.19</v>
      </c>
      <c r="Z50" s="8">
        <f>IFERROR(AVERAGE(E50:X50),"-")</f>
        <v>7.6487499999999997</v>
      </c>
      <c r="AB50" s="6">
        <f>AB49+1</f>
        <v>13</v>
      </c>
      <c r="AC50" s="7" t="str" cm="1">
        <f t="array" ref="AC50">INDEX(_xlfn.SORTBY($B$38:$B$57,IF(ISNUMBER($Z$38:$Z$57),$Z$38:$Z$57,-1),-1,$Y$38:$Y$57,-1),$AB50)</f>
        <v>Diplov Khatri</v>
      </c>
      <c r="AD50" s="6" t="str">
        <f>INDEX($D$38:$D$57,MATCH($AC50,$B$38:$B$57,0))</f>
        <v>ASE</v>
      </c>
      <c r="AE50" s="11">
        <f>COUNT(INDEX($E$38:$X$57,MATCH($AC50,$B$38:$B$57,0),0))</f>
        <v>16</v>
      </c>
      <c r="AF50" s="8">
        <f>INDEX($Y$38:$Y$57,MATCH($AC50,$B$38:$B$57,0))</f>
        <v>121.87</v>
      </c>
      <c r="AG50" s="8">
        <f>INDEX($Z$38:$Z$57,MATCH($AC50,$B$38:$B$57,0))</f>
        <v>7.6168750000000003</v>
      </c>
      <c r="AH50" s="11">
        <f>RANK(AG50,$AG$4:$AG$57,0)</f>
        <v>34</v>
      </c>
      <c r="AJ50" s="6">
        <f>AJ49+1</f>
        <v>13</v>
      </c>
      <c r="AK50" s="7" t="str" cm="1">
        <f t="array" aca="1" ref="AK50" ca="1">INDEX(_xlfn.SORTBY($B$38:$B$57,IF(ISNUMBER($AR$38:$AR$57),$AR$38:$AR$57,-1),-1,$AS$38:$AS$57,-1),$AJ50)</f>
        <v xml:space="preserve">Saugat Gurung </v>
      </c>
      <c r="AL50" s="6" t="str">
        <f ca="1">INDEX($D$38:$D$57,MATCH($AK50,$B$38:$B$57,0))</f>
        <v>ASE</v>
      </c>
      <c r="AM50" s="11" t="str">
        <f ca="1">INDEX($C$38:$C$57,MATCH($AK50,$B$38:$B$57,0))</f>
        <v>Team Bravo</v>
      </c>
      <c r="AN50" s="11">
        <f ca="1">INDEX($AS$38:$AS$57,MATCH($AK50,$B$38:$B$57,0))</f>
        <v>6</v>
      </c>
      <c r="AO50" s="8">
        <f ca="1">INDEX($AR$38:$AR$57,MATCH($AK50,$B$38:$B$57,0))</f>
        <v>8.2266666666666666</v>
      </c>
      <c r="AP50" s="11">
        <f ca="1">IF(ISNUMBER(AO50),RANK(AO50,$AO$4:$AO$57,0),"-")</f>
        <v>32</v>
      </c>
      <c r="AR50" s="59">
        <f ca="1">IF(ISNUMBER($A50),IFERROR(AVERAGE(INDEX($E50:$X50,MATCH(Sheet1!$G$3,$E$1:$X$1,0)):INDEX($E50:$X50,MATCH(Sheet1!$G$2,$E$1:$X$1,0))),"-"),"")</f>
        <v>7.81</v>
      </c>
      <c r="AS50" s="61">
        <f ca="1">IF(ISNUMBER($A50),COUNT(INDEX($E50:$X50,MATCH(Sheet1!$G$3,$E$1:$X$1,0)):INDEX($E50:$X50,MATCH(Sheet1!$G$2,$E$1:$X$1,0))),"")</f>
        <v>6</v>
      </c>
    </row>
    <row r="51" spans="1:45">
      <c r="A51" s="6">
        <v>14</v>
      </c>
      <c r="B51" s="7" t="s">
        <v>93</v>
      </c>
      <c r="C51" s="7" t="s">
        <v>49</v>
      </c>
      <c r="D51" s="6" t="s">
        <v>79</v>
      </c>
      <c r="E51" s="8" t="s">
        <v>43</v>
      </c>
      <c r="F51" s="8" t="s">
        <v>43</v>
      </c>
      <c r="G51" s="8" t="s">
        <v>43</v>
      </c>
      <c r="H51" s="8" t="s">
        <v>43</v>
      </c>
      <c r="I51" s="8" t="s">
        <v>43</v>
      </c>
      <c r="J51" s="8" t="s">
        <v>43</v>
      </c>
      <c r="K51" s="8" t="s">
        <v>43</v>
      </c>
      <c r="L51" s="8" t="s">
        <v>43</v>
      </c>
      <c r="M51" s="8" t="s">
        <v>43</v>
      </c>
      <c r="N51" s="8" t="s">
        <v>43</v>
      </c>
      <c r="O51" s="12" t="s">
        <v>43</v>
      </c>
      <c r="P51" s="8">
        <v>9.1999999999999993</v>
      </c>
      <c r="Q51" s="12">
        <v>8.67</v>
      </c>
      <c r="R51" s="8">
        <v>8.67</v>
      </c>
      <c r="S51" s="13">
        <v>8.67</v>
      </c>
      <c r="T51" s="8">
        <v>7</v>
      </c>
      <c r="U51" s="8">
        <f>'[1]Team Bimal'!C7</f>
        <v>9.4</v>
      </c>
      <c r="V51" s="8"/>
      <c r="W51" s="8"/>
      <c r="X51" s="8"/>
      <c r="Y51" s="8">
        <f>SUM(E51:X51)</f>
        <v>51.61</v>
      </c>
      <c r="Z51" s="8">
        <f>IFERROR(AVERAGE(E51:X51),"-")</f>
        <v>8.6016666666666666</v>
      </c>
      <c r="AB51" s="6">
        <f>AB50+1</f>
        <v>14</v>
      </c>
      <c r="AC51" s="7" t="str" cm="1">
        <f t="array" ref="AC51">INDEX(_xlfn.SORTBY($B$38:$B$57,IF(ISNUMBER($Z$38:$Z$57),$Z$38:$Z$57,-1),-1,$Y$38:$Y$57,-1),$AB51)</f>
        <v>Surya joshi</v>
      </c>
      <c r="AD51" s="6" t="str">
        <f>INDEX($D$38:$D$57,MATCH($AC51,$B$38:$B$57,0))</f>
        <v>ASE</v>
      </c>
      <c r="AE51" s="11">
        <f>COUNT(INDEX($E$38:$X$57,MATCH($AC51,$B$38:$B$57,0),0))</f>
        <v>17</v>
      </c>
      <c r="AF51" s="8">
        <f>INDEX($Y$38:$Y$57,MATCH($AC51,$B$38:$B$57,0))</f>
        <v>124.88000000000001</v>
      </c>
      <c r="AG51" s="8">
        <f>INDEX($Z$38:$Z$57,MATCH($AC51,$B$38:$B$57,0))</f>
        <v>7.3458823529411772</v>
      </c>
      <c r="AH51" s="11">
        <f>RANK(AG51,$AG$4:$AG$57,0)</f>
        <v>37</v>
      </c>
      <c r="AJ51" s="6">
        <f>AJ50+1</f>
        <v>14</v>
      </c>
      <c r="AK51" s="7" t="str" cm="1">
        <f t="array" aca="1" ref="AK51" ca="1">INDEX(_xlfn.SORTBY($B$38:$B$57,IF(ISNUMBER($AR$38:$AR$57),$AR$38:$AR$57,-1),-1,$AS$38:$AS$57,-1),$AJ51)</f>
        <v>Bishal Joshi</v>
      </c>
      <c r="AL51" s="6" t="str">
        <f ca="1">INDEX($D$38:$D$57,MATCH($AK51,$B$38:$B$57,0))</f>
        <v>ASE</v>
      </c>
      <c r="AM51" s="11" t="str">
        <f ca="1">INDEX($C$38:$C$57,MATCH($AK51,$B$38:$B$57,0))</f>
        <v>Team Dhangadhi</v>
      </c>
      <c r="AN51" s="11">
        <f ca="1">INDEX($AS$38:$AS$57,MATCH($AK51,$B$38:$B$57,0))</f>
        <v>6</v>
      </c>
      <c r="AO51" s="8">
        <f ca="1">INDEX($AR$38:$AR$57,MATCH($AK51,$B$38:$B$57,0))</f>
        <v>8.15</v>
      </c>
      <c r="AP51" s="11">
        <f ca="1">IF(ISNUMBER(AO51),RANK(AO51,$AO$4:$AO$57,0),"-")</f>
        <v>33</v>
      </c>
      <c r="AR51" s="59">
        <f ca="1">IF(ISNUMBER($A51),IFERROR(AVERAGE(INDEX($E51:$X51,MATCH(Sheet1!$G$3,$E$1:$X$1,0)):INDEX($E51:$X51,MATCH(Sheet1!$G$2,$E$1:$X$1,0))),"-"),"")</f>
        <v>8.6016666666666666</v>
      </c>
      <c r="AS51" s="61">
        <f ca="1">IF(ISNUMBER($A51),COUNT(INDEX($E51:$X51,MATCH(Sheet1!$G$3,$E$1:$X$1,0)):INDEX($E51:$X51,MATCH(Sheet1!$G$2,$E$1:$X$1,0))),"")</f>
        <v>6</v>
      </c>
    </row>
    <row r="52" spans="1:45">
      <c r="A52" s="6">
        <v>15</v>
      </c>
      <c r="B52" s="7" t="s">
        <v>94</v>
      </c>
      <c r="C52" s="7" t="s">
        <v>38</v>
      </c>
      <c r="D52" s="6" t="s">
        <v>79</v>
      </c>
      <c r="E52" s="8" t="s">
        <v>43</v>
      </c>
      <c r="F52" s="8" t="s">
        <v>43</v>
      </c>
      <c r="G52" s="8" t="s">
        <v>43</v>
      </c>
      <c r="H52" s="8" t="s">
        <v>43</v>
      </c>
      <c r="I52" s="8" t="s">
        <v>43</v>
      </c>
      <c r="J52" s="8" t="s">
        <v>43</v>
      </c>
      <c r="K52" s="8" t="s">
        <v>43</v>
      </c>
      <c r="L52" s="8" t="s">
        <v>43</v>
      </c>
      <c r="M52" s="8" t="s">
        <v>43</v>
      </c>
      <c r="N52" s="8" t="s">
        <v>43</v>
      </c>
      <c r="O52" s="12" t="s">
        <v>43</v>
      </c>
      <c r="P52" s="8" t="s">
        <v>43</v>
      </c>
      <c r="Q52" s="12" t="s">
        <v>43</v>
      </c>
      <c r="R52" s="8" t="s">
        <v>43</v>
      </c>
      <c r="S52" s="13" t="s">
        <v>43</v>
      </c>
      <c r="T52" s="8" t="s">
        <v>43</v>
      </c>
      <c r="U52" s="8">
        <f>'[1]Team Bravo'!C3</f>
        <v>9.8000000000000007</v>
      </c>
      <c r="V52" s="8"/>
      <c r="W52" s="8"/>
      <c r="X52" s="8"/>
      <c r="Y52" s="8">
        <f>SUM(E52:X52)</f>
        <v>9.8000000000000007</v>
      </c>
      <c r="Z52" s="8">
        <f>IFERROR(AVERAGE(E52:X52),"-")</f>
        <v>9.8000000000000007</v>
      </c>
      <c r="AB52" s="6">
        <f>AB51+1</f>
        <v>15</v>
      </c>
      <c r="AC52" s="7" t="str" cm="1">
        <f t="array" ref="AC52">INDEX(_xlfn.SORTBY($B$38:$B$57,IF(ISNUMBER($Z$38:$Z$57),$Z$38:$Z$57,-1),-1,$Y$38:$Y$57,-1),$AB52)</f>
        <v>Bishal Joshi</v>
      </c>
      <c r="AD52" s="6" t="str">
        <f>INDEX($D$38:$D$57,MATCH($AC52,$B$38:$B$57,0))</f>
        <v>ASE</v>
      </c>
      <c r="AE52" s="11">
        <f>COUNT(INDEX($E$38:$X$57,MATCH($AC52,$B$38:$B$57,0),0))</f>
        <v>17</v>
      </c>
      <c r="AF52" s="8">
        <f>INDEX($Y$38:$Y$57,MATCH($AC52,$B$38:$B$57,0))</f>
        <v>123.355</v>
      </c>
      <c r="AG52" s="8">
        <f>INDEX($Z$38:$Z$57,MATCH($AC52,$B$38:$B$57,0))</f>
        <v>7.2561764705882359</v>
      </c>
      <c r="AH52" s="11">
        <f>RANK(AG52,$AG$4:$AG$57,0)</f>
        <v>39</v>
      </c>
      <c r="AJ52" s="6">
        <f>AJ51+1</f>
        <v>15</v>
      </c>
      <c r="AK52" s="7" t="str" cm="1">
        <f t="array" aca="1" ref="AK52" ca="1">INDEX(_xlfn.SORTBY($B$38:$B$57,IF(ISNUMBER($AR$38:$AR$57),$AR$38:$AR$57,-1),-1,$AS$38:$AS$57,-1),$AJ52)</f>
        <v>Niva  Awale</v>
      </c>
      <c r="AL52" s="6" t="str">
        <f ca="1">INDEX($D$38:$D$57,MATCH($AK52,$B$38:$B$57,0))</f>
        <v>ASE</v>
      </c>
      <c r="AM52" s="11" t="str">
        <f ca="1">INDEX($C$38:$C$57,MATCH($AK52,$B$38:$B$57,0))</f>
        <v>Team Dhangadhi</v>
      </c>
      <c r="AN52" s="11">
        <f ca="1">INDEX($AS$38:$AS$57,MATCH($AK52,$B$38:$B$57,0))</f>
        <v>6</v>
      </c>
      <c r="AO52" s="8">
        <f ca="1">INDEX($AR$38:$AR$57,MATCH($AK52,$B$38:$B$57,0))</f>
        <v>7.9716666666666667</v>
      </c>
      <c r="AP52" s="11">
        <f ca="1">IF(ISNUMBER(AO52),RANK(AO52,$AO$4:$AO$57,0),"-")</f>
        <v>36</v>
      </c>
      <c r="AR52" s="59">
        <f ca="1">IF(ISNUMBER($A52),IFERROR(AVERAGE(INDEX($E52:$X52,MATCH(Sheet1!$G$3,$E$1:$X$1,0)):INDEX($E52:$X52,MATCH(Sheet1!$G$2,$E$1:$X$1,0))),"-"),"")</f>
        <v>9.8000000000000007</v>
      </c>
      <c r="AS52" s="61">
        <f ca="1">IF(ISNUMBER($A52),COUNT(INDEX($E52:$X52,MATCH(Sheet1!$G$3,$E$1:$X$1,0)):INDEX($E52:$X52,MATCH(Sheet1!$G$2,$E$1:$X$1,0))),"")</f>
        <v>1</v>
      </c>
    </row>
    <row r="53" spans="1:45">
      <c r="A53" s="6">
        <v>16</v>
      </c>
      <c r="B53" s="7" t="s">
        <v>95</v>
      </c>
      <c r="C53" s="7" t="s">
        <v>76</v>
      </c>
      <c r="D53" s="6" t="s">
        <v>79</v>
      </c>
      <c r="E53" s="8" t="s">
        <v>43</v>
      </c>
      <c r="F53" s="8" t="s">
        <v>43</v>
      </c>
      <c r="G53" s="8" t="s">
        <v>43</v>
      </c>
      <c r="H53" s="8" t="s">
        <v>43</v>
      </c>
      <c r="I53" s="8" t="s">
        <v>43</v>
      </c>
      <c r="J53" s="8" t="s">
        <v>43</v>
      </c>
      <c r="K53" s="8" t="s">
        <v>43</v>
      </c>
      <c r="L53" s="8" t="s">
        <v>43</v>
      </c>
      <c r="M53" s="8" t="s">
        <v>43</v>
      </c>
      <c r="N53" s="8" t="s">
        <v>43</v>
      </c>
      <c r="O53" s="12" t="s">
        <v>43</v>
      </c>
      <c r="P53" s="8" t="s">
        <v>43</v>
      </c>
      <c r="Q53" s="12" t="s">
        <v>43</v>
      </c>
      <c r="R53" s="8" t="s">
        <v>43</v>
      </c>
      <c r="S53" s="13" t="s">
        <v>43</v>
      </c>
      <c r="T53" s="8" t="s">
        <v>43</v>
      </c>
      <c r="U53" s="8">
        <f>'[1]AI Team'!C2</f>
        <v>10</v>
      </c>
      <c r="V53" s="8"/>
      <c r="W53" s="8"/>
      <c r="X53" s="8"/>
      <c r="Y53" s="8">
        <f>SUM(E53:X53)</f>
        <v>10</v>
      </c>
      <c r="Z53" s="8">
        <f>IFERROR(AVERAGE(E53:X53),"-")</f>
        <v>10</v>
      </c>
      <c r="AB53" s="6">
        <f>AB52+1</f>
        <v>16</v>
      </c>
      <c r="AC53" s="7" t="str" cm="1">
        <f t="array" ref="AC53">INDEX(_xlfn.SORTBY($B$38:$B$57,IF(ISNUMBER($Z$38:$Z$57),$Z$38:$Z$57,-1),-1,$Y$38:$Y$57,-1),$AB53)</f>
        <v>Aayush Pradhan</v>
      </c>
      <c r="AD53" s="6" t="str">
        <f>INDEX($D$38:$D$57,MATCH($AC53,$B$38:$B$57,0))</f>
        <v>ASE</v>
      </c>
      <c r="AE53" s="11">
        <f>COUNT(INDEX($E$38:$X$57,MATCH($AC53,$B$38:$B$57,0),0))</f>
        <v>17</v>
      </c>
      <c r="AF53" s="8">
        <f>INDEX($Y$38:$Y$57,MATCH($AC53,$B$38:$B$57,0))</f>
        <v>121.99</v>
      </c>
      <c r="AG53" s="8">
        <f>INDEX($Z$38:$Z$57,MATCH($AC53,$B$38:$B$57,0))</f>
        <v>7.1758823529411764</v>
      </c>
      <c r="AH53" s="11">
        <f>RANK(AG53,$AG$4:$AG$57,0)</f>
        <v>41</v>
      </c>
      <c r="AJ53" s="6">
        <f>AJ52+1</f>
        <v>16</v>
      </c>
      <c r="AK53" s="7" t="str" cm="1">
        <f t="array" aca="1" ref="AK53" ca="1">INDEX(_xlfn.SORTBY($B$38:$B$57,IF(ISNUMBER($AR$38:$AR$57),$AR$38:$AR$57,-1),-1,$AS$38:$AS$57,-1),$AJ53)</f>
        <v>Dasarath Ayer</v>
      </c>
      <c r="AL53" s="6" t="str">
        <f ca="1">INDEX($D$38:$D$57,MATCH($AK53,$B$38:$B$57,0))</f>
        <v>ASE</v>
      </c>
      <c r="AM53" s="11" t="str">
        <f ca="1">INDEX($C$38:$C$57,MATCH($AK53,$B$38:$B$57,0))</f>
        <v>Team Dhangadhi</v>
      </c>
      <c r="AN53" s="11">
        <f ca="1">INDEX($AS$38:$AS$57,MATCH($AK53,$B$38:$B$57,0))</f>
        <v>6</v>
      </c>
      <c r="AO53" s="8">
        <f ca="1">INDEX($AR$38:$AR$57,MATCH($AK53,$B$38:$B$57,0))</f>
        <v>7.8900000000000006</v>
      </c>
      <c r="AP53" s="11">
        <f ca="1">IF(ISNUMBER(AO53),RANK(AO53,$AO$4:$AO$57,0),"-")</f>
        <v>39</v>
      </c>
      <c r="AR53" s="59">
        <f ca="1">IF(ISNUMBER($A53),IFERROR(AVERAGE(INDEX($E53:$X53,MATCH(Sheet1!$G$3,$E$1:$X$1,0)):INDEX($E53:$X53,MATCH(Sheet1!$G$2,$E$1:$X$1,0))),"-"),"")</f>
        <v>10</v>
      </c>
      <c r="AS53" s="61">
        <f ca="1">IF(ISNUMBER($A53),COUNT(INDEX($E53:$X53,MATCH(Sheet1!$G$3,$E$1:$X$1,0)):INDEX($E53:$X53,MATCH(Sheet1!$G$2,$E$1:$X$1,0))),"")</f>
        <v>1</v>
      </c>
    </row>
    <row r="54" spans="1:45">
      <c r="A54" s="6">
        <v>17</v>
      </c>
      <c r="B54" s="7" t="s">
        <v>96</v>
      </c>
      <c r="C54" s="7" t="s">
        <v>42</v>
      </c>
      <c r="D54" s="6" t="s">
        <v>79</v>
      </c>
      <c r="E54" s="8" t="s">
        <v>43</v>
      </c>
      <c r="F54" s="8" t="s">
        <v>43</v>
      </c>
      <c r="G54" s="8" t="s">
        <v>43</v>
      </c>
      <c r="H54" s="8" t="s">
        <v>43</v>
      </c>
      <c r="I54" s="8" t="s">
        <v>43</v>
      </c>
      <c r="J54" s="8" t="s">
        <v>43</v>
      </c>
      <c r="K54" s="8" t="s">
        <v>43</v>
      </c>
      <c r="L54" s="8" t="s">
        <v>43</v>
      </c>
      <c r="M54" s="8" t="s">
        <v>43</v>
      </c>
      <c r="N54" s="8" t="s">
        <v>43</v>
      </c>
      <c r="O54" s="12" t="s">
        <v>43</v>
      </c>
      <c r="P54" s="8" t="s">
        <v>43</v>
      </c>
      <c r="Q54" s="12" t="s">
        <v>43</v>
      </c>
      <c r="R54" s="8" t="s">
        <v>43</v>
      </c>
      <c r="S54" s="13" t="s">
        <v>43</v>
      </c>
      <c r="T54" s="8" t="s">
        <v>43</v>
      </c>
      <c r="U54" s="8">
        <f>[1]DevOps!C5</f>
        <v>9.1999999999999993</v>
      </c>
      <c r="V54" s="8"/>
      <c r="W54" s="8"/>
      <c r="X54" s="8"/>
      <c r="Y54" s="8">
        <f>SUM(E54:X54)</f>
        <v>9.1999999999999993</v>
      </c>
      <c r="Z54" s="8">
        <f>IFERROR(AVERAGE(E54:X54),"-")</f>
        <v>9.1999999999999993</v>
      </c>
      <c r="AB54" s="6">
        <f>AB53+1</f>
        <v>17</v>
      </c>
      <c r="AC54" s="7" t="str" cm="1">
        <f t="array" ref="AC54">INDEX(_xlfn.SORTBY($B$38:$B$57,IF(ISNUMBER($Z$38:$Z$57),$Z$38:$Z$57,-1),-1,$Y$38:$Y$57,-1),$AB54)</f>
        <v>Santosh Upadhyay</v>
      </c>
      <c r="AD54" s="6" t="str">
        <f>INDEX($D$38:$D$57,MATCH($AC54,$B$38:$B$57,0))</f>
        <v>ASE</v>
      </c>
      <c r="AE54" s="11">
        <f>COUNT(INDEX($E$38:$X$57,MATCH($AC54,$B$38:$B$57,0),0))</f>
        <v>17</v>
      </c>
      <c r="AF54" s="8">
        <f>INDEX($Y$38:$Y$57,MATCH($AC54,$B$38:$B$57,0))</f>
        <v>117.08</v>
      </c>
      <c r="AG54" s="8">
        <f>INDEX($Z$38:$Z$57,MATCH($AC54,$B$38:$B$57,0))</f>
        <v>6.8870588235294115</v>
      </c>
      <c r="AH54" s="11">
        <f>RANK(AG54,$AG$4:$AG$57,0)</f>
        <v>43</v>
      </c>
      <c r="AJ54" s="6">
        <f>AJ53+1</f>
        <v>17</v>
      </c>
      <c r="AK54" s="7" t="str" cm="1">
        <f t="array" aca="1" ref="AK54" ca="1">INDEX(_xlfn.SORTBY($B$38:$B$57,IF(ISNUMBER($AR$38:$AR$57),$AR$38:$AR$57,-1),-1,$AS$38:$AS$57,-1),$AJ54)</f>
        <v>Swayam Ghimire</v>
      </c>
      <c r="AL54" s="6" t="str">
        <f ca="1">INDEX($D$38:$D$57,MATCH($AK54,$B$38:$B$57,0))</f>
        <v>ASE</v>
      </c>
      <c r="AM54" s="11" t="str">
        <f ca="1">INDEX($C$38:$C$57,MATCH($AK54,$B$38:$B$57,0))</f>
        <v>Team Sanjay</v>
      </c>
      <c r="AN54" s="11">
        <f ca="1">INDEX($AS$38:$AS$57,MATCH($AK54,$B$38:$B$57,0))</f>
        <v>6</v>
      </c>
      <c r="AO54" s="8">
        <f ca="1">INDEX($AR$38:$AR$57,MATCH($AK54,$B$38:$B$57,0))</f>
        <v>7.81</v>
      </c>
      <c r="AP54" s="11">
        <f ca="1">IF(ISNUMBER(AO54),RANK(AO54,$AO$4:$AO$57,0),"-")</f>
        <v>41</v>
      </c>
      <c r="AR54" s="59">
        <f ca="1">IF(ISNUMBER($A54),IFERROR(AVERAGE(INDEX($E54:$X54,MATCH(Sheet1!$G$3,$E$1:$X$1,0)):INDEX($E54:$X54,MATCH(Sheet1!$G$2,$E$1:$X$1,0))),"-"),"")</f>
        <v>9.1999999999999993</v>
      </c>
      <c r="AS54" s="61">
        <f ca="1">IF(ISNUMBER($A54),COUNT(INDEX($E54:$X54,MATCH(Sheet1!$G$3,$E$1:$X$1,0)):INDEX($E54:$X54,MATCH(Sheet1!$G$2,$E$1:$X$1,0))),"")</f>
        <v>1</v>
      </c>
    </row>
    <row r="55" spans="1:45">
      <c r="A55" s="6">
        <v>18</v>
      </c>
      <c r="B55" s="7" t="s">
        <v>97</v>
      </c>
      <c r="C55" s="7" t="s">
        <v>42</v>
      </c>
      <c r="D55" s="6" t="s">
        <v>79</v>
      </c>
      <c r="E55" s="8" t="s">
        <v>43</v>
      </c>
      <c r="F55" s="8" t="s">
        <v>43</v>
      </c>
      <c r="G55" s="8" t="s">
        <v>43</v>
      </c>
      <c r="H55" s="8" t="s">
        <v>43</v>
      </c>
      <c r="I55" s="8" t="s">
        <v>43</v>
      </c>
      <c r="J55" s="8" t="s">
        <v>43</v>
      </c>
      <c r="K55" s="8" t="s">
        <v>43</v>
      </c>
      <c r="L55" s="8" t="s">
        <v>43</v>
      </c>
      <c r="M55" s="8" t="s">
        <v>43</v>
      </c>
      <c r="N55" s="8" t="s">
        <v>43</v>
      </c>
      <c r="O55" s="12" t="s">
        <v>43</v>
      </c>
      <c r="P55" s="8" t="s">
        <v>43</v>
      </c>
      <c r="Q55" s="12" t="s">
        <v>43</v>
      </c>
      <c r="R55" s="8" t="s">
        <v>43</v>
      </c>
      <c r="S55" s="13" t="s">
        <v>43</v>
      </c>
      <c r="T55" s="8" t="s">
        <v>43</v>
      </c>
      <c r="U55" s="8">
        <f>[1]DevOps!C7</f>
        <v>6.5</v>
      </c>
      <c r="V55" s="8"/>
      <c r="W55" s="8"/>
      <c r="X55" s="8"/>
      <c r="Y55" s="8">
        <f>SUM(E55:X55)</f>
        <v>6.5</v>
      </c>
      <c r="Z55" s="8">
        <f>IFERROR(AVERAGE(E55:X55),"-")</f>
        <v>6.5</v>
      </c>
      <c r="AB55" s="6">
        <f>AB54+1</f>
        <v>18</v>
      </c>
      <c r="AC55" s="7" t="str" cm="1">
        <f t="array" ref="AC55">INDEX(_xlfn.SORTBY($B$38:$B$57,IF(ISNUMBER($Z$38:$Z$57),$Z$38:$Z$57,-1),-1,$Y$38:$Y$57,-1),$AB55)</f>
        <v>Dasarath Ayer</v>
      </c>
      <c r="AD55" s="6" t="str">
        <f>INDEX($D$38:$D$57,MATCH($AC55,$B$38:$B$57,0))</f>
        <v>ASE</v>
      </c>
      <c r="AE55" s="11">
        <f>COUNT(INDEX($E$38:$X$57,MATCH($AC55,$B$38:$B$57,0),0))</f>
        <v>17</v>
      </c>
      <c r="AF55" s="8">
        <f>INDEX($Y$38:$Y$57,MATCH($AC55,$B$38:$B$57,0))</f>
        <v>115.74000000000001</v>
      </c>
      <c r="AG55" s="8">
        <f>INDEX($Z$38:$Z$57,MATCH($AC55,$B$38:$B$57,0))</f>
        <v>6.8082352941176474</v>
      </c>
      <c r="AH55" s="11">
        <f>RANK(AG55,$AG$4:$AG$57,0)</f>
        <v>46</v>
      </c>
      <c r="AJ55" s="6">
        <f>AJ54+1</f>
        <v>18</v>
      </c>
      <c r="AK55" s="7" t="str" cm="1">
        <f t="array" aca="1" ref="AK55" ca="1">INDEX(_xlfn.SORTBY($B$38:$B$57,IF(ISNUMBER($AR$38:$AR$57),$AR$38:$AR$57,-1),-1,$AS$38:$AS$57,-1),$AJ55)</f>
        <v>Santosh Upadhyay</v>
      </c>
      <c r="AL55" s="6" t="str">
        <f ca="1">INDEX($D$38:$D$57,MATCH($AK55,$B$38:$B$57,0))</f>
        <v>ASE</v>
      </c>
      <c r="AM55" s="11" t="str">
        <f ca="1">INDEX($C$38:$C$57,MATCH($AK55,$B$38:$B$57,0))</f>
        <v>Team Dhangadhi</v>
      </c>
      <c r="AN55" s="11">
        <f ca="1">INDEX($AS$38:$AS$57,MATCH($AK55,$B$38:$B$57,0))</f>
        <v>6</v>
      </c>
      <c r="AO55" s="8">
        <f ca="1">INDEX($AR$38:$AR$57,MATCH($AK55,$B$38:$B$57,0))</f>
        <v>7.5566666666666675</v>
      </c>
      <c r="AP55" s="11">
        <f ca="1">IF(ISNUMBER(AO55),RANK(AO55,$AO$4:$AO$57,0),"-")</f>
        <v>45</v>
      </c>
      <c r="AR55" s="59">
        <f ca="1">IF(ISNUMBER($A55),IFERROR(AVERAGE(INDEX($E55:$X55,MATCH(Sheet1!$G$3,$E$1:$X$1,0)):INDEX($E55:$X55,MATCH(Sheet1!$G$2,$E$1:$X$1,0))),"-"),"")</f>
        <v>6.5</v>
      </c>
      <c r="AS55" s="61">
        <f ca="1">IF(ISNUMBER($A55),COUNT(INDEX($E55:$X55,MATCH(Sheet1!$G$3,$E$1:$X$1,0)):INDEX($E55:$X55,MATCH(Sheet1!$G$2,$E$1:$X$1,0))),"")</f>
        <v>1</v>
      </c>
    </row>
    <row r="56" spans="1:45">
      <c r="A56" s="6">
        <v>19</v>
      </c>
      <c r="B56" s="7" t="s">
        <v>98</v>
      </c>
      <c r="C56" s="7" t="s">
        <v>51</v>
      </c>
      <c r="D56" s="6" t="s">
        <v>79</v>
      </c>
      <c r="E56" s="8" t="s">
        <v>43</v>
      </c>
      <c r="F56" s="8" t="s">
        <v>43</v>
      </c>
      <c r="G56" s="8" t="s">
        <v>43</v>
      </c>
      <c r="H56" s="8" t="s">
        <v>43</v>
      </c>
      <c r="I56" s="8" t="s">
        <v>43</v>
      </c>
      <c r="J56" s="8" t="s">
        <v>43</v>
      </c>
      <c r="K56" s="8" t="s">
        <v>43</v>
      </c>
      <c r="L56" s="8" t="s">
        <v>43</v>
      </c>
      <c r="M56" s="8" t="s">
        <v>43</v>
      </c>
      <c r="N56" s="8" t="s">
        <v>43</v>
      </c>
      <c r="O56" s="12" t="s">
        <v>43</v>
      </c>
      <c r="P56" s="8" t="s">
        <v>43</v>
      </c>
      <c r="Q56" s="12" t="s">
        <v>43</v>
      </c>
      <c r="R56" s="8" t="s">
        <v>43</v>
      </c>
      <c r="S56" s="13" t="s">
        <v>43</v>
      </c>
      <c r="T56" s="8" t="s">
        <v>43</v>
      </c>
      <c r="U56" s="8">
        <f>'[1]Team Bikash'!C7</f>
        <v>6.5</v>
      </c>
      <c r="V56" s="8"/>
      <c r="W56" s="8"/>
      <c r="X56" s="8"/>
      <c r="Y56" s="8">
        <f>SUM(E56:X56)</f>
        <v>6.5</v>
      </c>
      <c r="Z56" s="8">
        <f>IFERROR(AVERAGE(E56:X56),"-")</f>
        <v>6.5</v>
      </c>
      <c r="AB56" s="6">
        <f>AB55+1</f>
        <v>19</v>
      </c>
      <c r="AC56" s="7" t="str" cm="1">
        <f t="array" ref="AC56">INDEX(_xlfn.SORTBY($B$38:$B$57,IF(ISNUMBER($Z$38:$Z$57),$Z$38:$Z$57,-1),-1,$Y$38:$Y$57,-1),$AB56)</f>
        <v>Love Sainju</v>
      </c>
      <c r="AD56" s="6" t="str">
        <f>INDEX($D$38:$D$57,MATCH($AC56,$B$38:$B$57,0))</f>
        <v>ASE</v>
      </c>
      <c r="AE56" s="11">
        <f>COUNT(INDEX($E$38:$X$57,MATCH($AC56,$B$38:$B$57,0),0))</f>
        <v>1</v>
      </c>
      <c r="AF56" s="8">
        <f>INDEX($Y$38:$Y$57,MATCH($AC56,$B$38:$B$57,0))</f>
        <v>6.5</v>
      </c>
      <c r="AG56" s="8">
        <f>INDEX($Z$38:$Z$57,MATCH($AC56,$B$38:$B$57,0))</f>
        <v>6.5</v>
      </c>
      <c r="AH56" s="11">
        <f>RANK(AG56,$AG$4:$AG$57,0)</f>
        <v>48</v>
      </c>
      <c r="AJ56" s="6">
        <f>AJ55+1</f>
        <v>19</v>
      </c>
      <c r="AK56" s="7" t="str" cm="1">
        <f t="array" aca="1" ref="AK56" ca="1">INDEX(_xlfn.SORTBY($B$38:$B$57,IF(ISNUMBER($AR$38:$AR$57),$AR$38:$AR$57,-1),-1,$AS$38:$AS$57,-1),$AJ56)</f>
        <v>Love Sainju</v>
      </c>
      <c r="AL56" s="6" t="str">
        <f ca="1">INDEX($D$38:$D$57,MATCH($AK56,$B$38:$B$57,0))</f>
        <v>ASE</v>
      </c>
      <c r="AM56" s="11" t="str">
        <f ca="1">INDEX($C$38:$C$57,MATCH($AK56,$B$38:$B$57,0))</f>
        <v>DevOps</v>
      </c>
      <c r="AN56" s="11">
        <f ca="1">INDEX($AS$38:$AS$57,MATCH($AK56,$B$38:$B$57,0))</f>
        <v>1</v>
      </c>
      <c r="AO56" s="8">
        <f ca="1">INDEX($AR$38:$AR$57,MATCH($AK56,$B$38:$B$57,0))</f>
        <v>6.5</v>
      </c>
      <c r="AP56" s="11">
        <f ca="1">IF(ISNUMBER(AO56),RANK(AO56,$AO$4:$AO$57,0),"-")</f>
        <v>48</v>
      </c>
      <c r="AR56" s="59">
        <f ca="1">IF(ISNUMBER($A56),IFERROR(AVERAGE(INDEX($E56:$X56,MATCH(Sheet1!$G$3,$E$1:$X$1,0)):INDEX($E56:$X56,MATCH(Sheet1!$G$2,$E$1:$X$1,0))),"-"),"")</f>
        <v>6.5</v>
      </c>
      <c r="AS56" s="61">
        <f ca="1">IF(ISNUMBER($A56),COUNT(INDEX($E56:$X56,MATCH(Sheet1!$G$3,$E$1:$X$1,0)):INDEX($E56:$X56,MATCH(Sheet1!$G$2,$E$1:$X$1,0))),"")</f>
        <v>1</v>
      </c>
    </row>
    <row r="57" spans="1:45">
      <c r="A57" s="6">
        <v>20</v>
      </c>
      <c r="B57" s="7" t="s">
        <v>99</v>
      </c>
      <c r="C57" s="7" t="s">
        <v>47</v>
      </c>
      <c r="D57" s="6" t="s">
        <v>79</v>
      </c>
      <c r="E57" s="8" t="s">
        <v>43</v>
      </c>
      <c r="F57" s="8" t="s">
        <v>43</v>
      </c>
      <c r="G57" s="8" t="s">
        <v>43</v>
      </c>
      <c r="H57" s="8" t="s">
        <v>43</v>
      </c>
      <c r="I57" s="8" t="s">
        <v>43</v>
      </c>
      <c r="J57" s="8" t="s">
        <v>43</v>
      </c>
      <c r="K57" s="8" t="s">
        <v>43</v>
      </c>
      <c r="L57" s="8" t="s">
        <v>43</v>
      </c>
      <c r="M57" s="8" t="s">
        <v>43</v>
      </c>
      <c r="N57" s="8" t="s">
        <v>43</v>
      </c>
      <c r="O57" s="12" t="s">
        <v>43</v>
      </c>
      <c r="P57" s="8" t="s">
        <v>43</v>
      </c>
      <c r="Q57" s="12" t="s">
        <v>43</v>
      </c>
      <c r="R57" s="8" t="s">
        <v>43</v>
      </c>
      <c r="S57" s="13" t="s">
        <v>43</v>
      </c>
      <c r="T57" s="8" t="s">
        <v>43</v>
      </c>
      <c r="U57" s="8">
        <f>'[1]Team Sanjay'!C2</f>
        <v>9.8000000000000007</v>
      </c>
      <c r="V57" s="8"/>
      <c r="W57" s="8"/>
      <c r="X57" s="8"/>
      <c r="Y57" s="8">
        <f>SUM(E57:X57)</f>
        <v>9.8000000000000007</v>
      </c>
      <c r="Z57" s="8">
        <f>IFERROR(AVERAGE(E57:X57),"-")</f>
        <v>9.8000000000000007</v>
      </c>
      <c r="AB57" s="6">
        <f>AB56+1</f>
        <v>20</v>
      </c>
      <c r="AC57" s="7" t="str" cm="1">
        <f t="array" ref="AC57">INDEX(_xlfn.SORTBY($B$38:$B$57,IF(ISNUMBER($Z$38:$Z$57),$Z$38:$Z$57,-1),-1,$Y$38:$Y$57,-1),$AB57)</f>
        <v>Paru Maharjan</v>
      </c>
      <c r="AD57" s="6" t="str">
        <f>INDEX($D$38:$D$57,MATCH($AC57,$B$38:$B$57,0))</f>
        <v>ASE</v>
      </c>
      <c r="AE57" s="11">
        <f>COUNT(INDEX($E$38:$X$57,MATCH($AC57,$B$38:$B$57,0),0))</f>
        <v>1</v>
      </c>
      <c r="AF57" s="8">
        <f>INDEX($Y$38:$Y$57,MATCH($AC57,$B$38:$B$57,0))</f>
        <v>6.5</v>
      </c>
      <c r="AG57" s="8">
        <f>INDEX($Z$38:$Z$57,MATCH($AC57,$B$38:$B$57,0))</f>
        <v>6.5</v>
      </c>
      <c r="AH57" s="11">
        <f>RANK(AG57,$AG$4:$AG$57,0)</f>
        <v>48</v>
      </c>
      <c r="AJ57" s="6">
        <f>AJ56+1</f>
        <v>20</v>
      </c>
      <c r="AK57" s="7" t="str" cm="1">
        <f t="array" aca="1" ref="AK57" ca="1">INDEX(_xlfn.SORTBY($B$38:$B$57,IF(ISNUMBER($AR$38:$AR$57),$AR$38:$AR$57,-1),-1,$AS$38:$AS$57,-1),$AJ57)</f>
        <v>Paru Maharjan</v>
      </c>
      <c r="AL57" s="6" t="str">
        <f ca="1">INDEX($D$38:$D$57,MATCH($AK57,$B$38:$B$57,0))</f>
        <v>ASE</v>
      </c>
      <c r="AM57" s="11" t="str">
        <f ca="1">INDEX($C$38:$C$57,MATCH($AK57,$B$38:$B$57,0))</f>
        <v>Team Dhangadhi</v>
      </c>
      <c r="AN57" s="11">
        <f ca="1">INDEX($AS$38:$AS$57,MATCH($AK57,$B$38:$B$57,0))</f>
        <v>1</v>
      </c>
      <c r="AO57" s="8">
        <f ca="1">INDEX($AR$38:$AR$57,MATCH($AK57,$B$38:$B$57,0))</f>
        <v>6.5</v>
      </c>
      <c r="AP57" s="11">
        <f ca="1">IF(ISNUMBER(AO57),RANK(AO57,$AO$4:$AO$57,0),"-")</f>
        <v>48</v>
      </c>
      <c r="AR57" s="59">
        <f ca="1">IF(ISNUMBER($A57),IFERROR(AVERAGE(INDEX($E57:$X57,MATCH(Sheet1!$G$3,$E$1:$X$1,0)):INDEX($E57:$X57,MATCH(Sheet1!$G$2,$E$1:$X$1,0))),"-"),"")</f>
        <v>9.8000000000000007</v>
      </c>
      <c r="AS57" s="61">
        <f ca="1">IF(ISNUMBER($A57),COUNT(INDEX($E57:$X57,MATCH(Sheet1!$G$3,$E$1:$X$1,0)):INDEX($E57:$X57,MATCH(Sheet1!$G$2,$E$1:$X$1,0))),"")</f>
        <v>1</v>
      </c>
    </row>
  </sheetData>
  <autoFilter ref="C1:C51" xr:uid="{00000000-0001-0000-0000-000000000000}"/>
  <mergeCells count="10">
    <mergeCell ref="AJ1:AP1"/>
    <mergeCell ref="AJ3:AP3"/>
    <mergeCell ref="AJ10:AP10"/>
    <mergeCell ref="AJ19:AP19"/>
    <mergeCell ref="AJ37:AP37"/>
    <mergeCell ref="AB1:AH1"/>
    <mergeCell ref="AB3:AH3"/>
    <mergeCell ref="AB10:AH10"/>
    <mergeCell ref="AB19:AH19"/>
    <mergeCell ref="AB37:AH37"/>
  </mergeCells>
  <conditionalFormatting sqref="AH4:AH9 AH11:AH18 AH20:AH35 AH38:AH57">
    <cfRule type="cellIs" dxfId="1" priority="4" operator="between">
      <formula>1</formula>
      <formula>3</formula>
    </cfRule>
  </conditionalFormatting>
  <conditionalFormatting sqref="AP4:AP9 AP11:AP18 AP20:AP35 AP38:AP57">
    <cfRule type="cellIs" dxfId="0" priority="1" operator="between">
      <formula>1</formula>
      <formula>3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11AF-51BF-44EE-A141-004FB1071212}">
  <dimension ref="A1:Z36"/>
  <sheetViews>
    <sheetView showGridLines="0" workbookViewId="0">
      <selection activeCell="F5" sqref="F5"/>
    </sheetView>
  </sheetViews>
  <sheetFormatPr defaultRowHeight="15"/>
  <cols>
    <col min="1" max="1" width="21" style="17" customWidth="1"/>
    <col min="2" max="2" width="22.85546875" style="17" customWidth="1"/>
    <col min="3" max="6" width="18.140625" style="17" customWidth="1"/>
    <col min="7" max="7" width="2.85546875" style="17" customWidth="1"/>
    <col min="8" max="8" width="17.140625" style="17" customWidth="1"/>
    <col min="9" max="11" width="14.28515625" style="17" customWidth="1"/>
    <col min="12" max="12" width="2.85546875" style="17" customWidth="1"/>
    <col min="13" max="15" width="14.28515625" style="17" customWidth="1"/>
    <col min="16" max="26" width="9.140625" style="17"/>
  </cols>
  <sheetData>
    <row r="1" spans="1:15" ht="15" customHeight="1">
      <c r="A1" s="18" t="s">
        <v>100</v>
      </c>
    </row>
    <row r="2" spans="1:15" ht="15" customHeight="1">
      <c r="A2" s="19" t="s">
        <v>101</v>
      </c>
    </row>
    <row r="4" spans="1:15" ht="32.25" customHeight="1">
      <c r="A4" s="21" t="s">
        <v>102</v>
      </c>
      <c r="B4" s="21" t="s">
        <v>103</v>
      </c>
      <c r="C4" s="21" t="s">
        <v>104</v>
      </c>
      <c r="D4" s="21" t="s">
        <v>105</v>
      </c>
      <c r="E4" s="21" t="s">
        <v>106</v>
      </c>
      <c r="F4" s="21" t="s">
        <v>107</v>
      </c>
    </row>
    <row r="5" spans="1:15" ht="24" customHeight="1">
      <c r="A5" s="22">
        <f>COUNT('Compile Sheet '!$Z$4:$Z$57)</f>
        <v>49</v>
      </c>
      <c r="B5" s="23">
        <f>SUM('Compile Sheet '!$Y$4:$Y$57)/SUM('Compile Sheet '!$AE$4:$AE$57)</f>
        <v>7.7769732142857153</v>
      </c>
      <c r="C5" s="22" t="str" cm="1">
        <f t="array" ref="C5">_xlfn.XLOOKUP(TRUE,$O$10:$O$29&gt;0,$M$10:$M$29,"-",0,-1)</f>
        <v>S138</v>
      </c>
      <c r="D5" s="23">
        <f>_xlfn.XLOOKUP(C5,$M$10:$M$29,$N$10:$N$29,"-")</f>
        <v>8.4085106382978729</v>
      </c>
      <c r="E5" s="24">
        <f>_xlfn.XLOOKUP(C5,$M$10:$M$29,$O$10:$O$29,0)/A5</f>
        <v>0.95918367346938771</v>
      </c>
      <c r="F5" s="25">
        <v>5</v>
      </c>
    </row>
    <row r="6" spans="1:15" ht="18" customHeight="1"/>
    <row r="7" spans="1:15" ht="18" customHeight="1"/>
    <row r="8" spans="1:15" ht="18" customHeight="1">
      <c r="A8" s="20" t="s">
        <v>108</v>
      </c>
      <c r="H8" s="20" t="s">
        <v>109</v>
      </c>
      <c r="M8" s="20" t="s">
        <v>110</v>
      </c>
    </row>
    <row r="9" spans="1:15" ht="18" customHeight="1">
      <c r="A9" s="21" t="s">
        <v>33</v>
      </c>
      <c r="B9" s="21" t="s">
        <v>111</v>
      </c>
      <c r="C9" s="21" t="s">
        <v>112</v>
      </c>
      <c r="D9" s="21" t="s">
        <v>30</v>
      </c>
      <c r="E9" s="21" t="s">
        <v>113</v>
      </c>
      <c r="F9" s="21" t="s">
        <v>114</v>
      </c>
      <c r="H9" s="21" t="s">
        <v>3</v>
      </c>
      <c r="I9" s="21" t="s">
        <v>111</v>
      </c>
      <c r="J9" s="21" t="s">
        <v>112</v>
      </c>
      <c r="K9" s="21" t="s">
        <v>113</v>
      </c>
      <c r="M9" s="21" t="s">
        <v>115</v>
      </c>
      <c r="N9" s="21" t="s">
        <v>25</v>
      </c>
      <c r="O9" s="21" t="s">
        <v>116</v>
      </c>
    </row>
    <row r="10" spans="1:15" ht="18" customHeight="1">
      <c r="A10" s="26" t="s">
        <v>42</v>
      </c>
      <c r="B10" s="27">
        <f>COUNTIF('Compile Sheet '!$C$4:$C$57,$A10)</f>
        <v>7</v>
      </c>
      <c r="C10" s="27" cm="1">
        <f t="array" ref="C10">SUMPRODUCT(('Compile Sheet '!$C$4:$C$57=$A10)*ISNUMBER('Compile Sheet '!$E$4:$X$57))</f>
        <v>41</v>
      </c>
      <c r="D10" s="28">
        <f>SUMIF('Compile Sheet '!$C$4:$C$57,$A10,'Compile Sheet '!$Y$4:$Y$57)</f>
        <v>367.91</v>
      </c>
      <c r="E10" s="29">
        <f>IFERROR(D10/C10,0)</f>
        <v>8.9734146341463426</v>
      </c>
      <c r="F10" s="27">
        <f>RANK(E10,$E$10:$E$17,0)</f>
        <v>1</v>
      </c>
      <c r="H10" s="26" t="s">
        <v>39</v>
      </c>
      <c r="I10" s="27">
        <f>COUNTIF('Compile Sheet '!$D$4:$D$57,$H10)</f>
        <v>6</v>
      </c>
      <c r="J10" s="27" cm="1">
        <f t="array" ref="J10">SUMPRODUCT(('Compile Sheet '!$D$4:$D$57=$H10)*ISNUMBER('Compile Sheet '!$E$4:$X$57))</f>
        <v>83</v>
      </c>
      <c r="K10" s="29">
        <f>IFERROR(SUMIF('Compile Sheet '!$D$4:$D$57,$H10,'Compile Sheet '!$Y$4:$Y$57)/J10,0)</f>
        <v>8.040481927710843</v>
      </c>
      <c r="M10" s="27" t="str" cm="1">
        <f t="array" ref="M10">INDEX('Compile Sheet '!$E$1:$X$1,ROWS($M$10:M10))</f>
        <v>S122</v>
      </c>
      <c r="N10" s="29">
        <f>IFERROR(AVERAGEIFS(INDEX('Compile Sheet '!$E$4:$X$57,0,ROWS($M$10:M10)),'Compile Sheet '!$B$4:$B$57,"&lt;&gt;"),"-")</f>
        <v>6.8310869565217383</v>
      </c>
      <c r="O10" s="27">
        <f>COUNTIFS(INDEX('Compile Sheet '!$E$4:$X$57,0,ROWS($M$10:M10)),"&gt;=0",'Compile Sheet '!$B$4:$B$57,"&lt;&gt;")</f>
        <v>23</v>
      </c>
    </row>
    <row r="11" spans="1:15" ht="18" customHeight="1">
      <c r="A11" s="26" t="s">
        <v>54</v>
      </c>
      <c r="B11" s="27">
        <f>COUNTIF('Compile Sheet '!$C$4:$C$57,$A11)</f>
        <v>5</v>
      </c>
      <c r="C11" s="27" cm="1">
        <f t="array" ref="C11">SUMPRODUCT(('Compile Sheet '!$C$4:$C$57=$A11)*ISNUMBER('Compile Sheet '!$E$4:$X$57))</f>
        <v>70</v>
      </c>
      <c r="D11" s="28">
        <f>SUMIF('Compile Sheet '!$C$4:$C$57,$A11,'Compile Sheet '!$Y$4:$Y$57)</f>
        <v>571.20000000000005</v>
      </c>
      <c r="E11" s="29">
        <f>IFERROR(D11/C11,0)</f>
        <v>8.16</v>
      </c>
      <c r="F11" s="27">
        <f>RANK(E11,$E$10:$E$17,0)</f>
        <v>2</v>
      </c>
      <c r="H11" s="26" t="s">
        <v>52</v>
      </c>
      <c r="I11" s="27">
        <f>COUNTIF('Compile Sheet '!$D$4:$D$57,$H11)</f>
        <v>7</v>
      </c>
      <c r="J11" s="27" cm="1">
        <f t="array" ref="J11">SUMPRODUCT(('Compile Sheet '!$D$4:$D$57=$H11)*ISNUMBER('Compile Sheet '!$E$4:$X$57))</f>
        <v>92</v>
      </c>
      <c r="K11" s="29">
        <f>IFERROR(SUMIF('Compile Sheet '!$D$4:$D$57,$H11,'Compile Sheet '!$Y$4:$Y$57)/J11,0)</f>
        <v>7.8157608695652181</v>
      </c>
      <c r="M11" s="27" t="str" cm="1">
        <f t="array" ref="M11">INDEX('Compile Sheet '!$E$1:$X$1,ROWS($M$10:M11))</f>
        <v>S123</v>
      </c>
      <c r="N11" s="29">
        <f>IFERROR(AVERAGEIFS(INDEX('Compile Sheet '!$E$4:$X$57,0,ROWS($M$10:M11)),'Compile Sheet '!$B$4:$B$57,"&lt;&gt;"),"-")</f>
        <v>7.2191666666666654</v>
      </c>
      <c r="O11" s="27">
        <f>COUNTIFS(INDEX('Compile Sheet '!$E$4:$X$57,0,ROWS($M$10:M11)),"&gt;=0",'Compile Sheet '!$B$4:$B$57,"&lt;&gt;")</f>
        <v>24</v>
      </c>
    </row>
    <row r="12" spans="1:15" ht="18" customHeight="1">
      <c r="A12" s="26" t="s">
        <v>38</v>
      </c>
      <c r="B12" s="27">
        <f>COUNTIF('Compile Sheet '!$C$4:$C$57,$A12)</f>
        <v>8</v>
      </c>
      <c r="C12" s="27" cm="1">
        <f t="array" ref="C12">SUMPRODUCT(('Compile Sheet '!$C$4:$C$57=$A12)*ISNUMBER('Compile Sheet '!$E$4:$X$57))</f>
        <v>107</v>
      </c>
      <c r="D12" s="28">
        <f>SUMIF('Compile Sheet '!$C$4:$C$57,$A12,'Compile Sheet '!$Y$4:$Y$57)</f>
        <v>855.58999999999992</v>
      </c>
      <c r="E12" s="29">
        <f>IFERROR(D12/C12,0)</f>
        <v>7.9961682242990646</v>
      </c>
      <c r="F12" s="27">
        <f>RANK(E12,$E$10:$E$17,0)</f>
        <v>4</v>
      </c>
      <c r="H12" s="26" t="s">
        <v>61</v>
      </c>
      <c r="I12" s="27">
        <f>COUNTIF('Compile Sheet '!$D$4:$D$57,$H12)</f>
        <v>16</v>
      </c>
      <c r="J12" s="27" cm="1">
        <f t="array" ref="J12">SUMPRODUCT(('Compile Sheet '!$D$4:$D$57=$H12)*ISNUMBER('Compile Sheet '!$E$4:$X$57))</f>
        <v>188</v>
      </c>
      <c r="K12" s="29">
        <f>IFERROR(SUMIF('Compile Sheet '!$D$4:$D$57,$H12,'Compile Sheet '!$Y$4:$Y$57)/J12,0)</f>
        <v>7.7851595744680857</v>
      </c>
      <c r="M12" s="27" t="str" cm="1">
        <f t="array" ref="M12">INDEX('Compile Sheet '!$E$1:$X$1,ROWS($M$10:M12))</f>
        <v>S124</v>
      </c>
      <c r="N12" s="29">
        <f>IFERROR(AVERAGEIFS(INDEX('Compile Sheet '!$E$4:$X$57,0,ROWS($M$10:M12)),'Compile Sheet '!$B$4:$B$57,"&lt;&gt;"),"-")</f>
        <v>6.1569565217391311</v>
      </c>
      <c r="O12" s="27">
        <f>COUNTIFS(INDEX('Compile Sheet '!$E$4:$X$57,0,ROWS($M$10:M12)),"&gt;=0",'Compile Sheet '!$B$4:$B$57,"&lt;&gt;")</f>
        <v>23</v>
      </c>
    </row>
    <row r="13" spans="1:15" ht="18" customHeight="1">
      <c r="A13" s="26" t="s">
        <v>47</v>
      </c>
      <c r="B13" s="27">
        <f>COUNTIF('Compile Sheet '!$C$4:$C$57,$A13)</f>
        <v>6</v>
      </c>
      <c r="C13" s="27" cm="1">
        <f t="array" ref="C13">SUMPRODUCT(('Compile Sheet '!$C$4:$C$57=$A13)*ISNUMBER('Compile Sheet '!$E$4:$X$57))</f>
        <v>57</v>
      </c>
      <c r="D13" s="28">
        <f>SUMIF('Compile Sheet '!$C$4:$C$57,$A13,'Compile Sheet '!$Y$4:$Y$57)</f>
        <v>436.78999999999996</v>
      </c>
      <c r="E13" s="29">
        <f>IFERROR(D13/C13,0)</f>
        <v>7.6629824561403499</v>
      </c>
      <c r="F13" s="27">
        <f>RANK(E13,$E$10:$E$17,0)</f>
        <v>5</v>
      </c>
      <c r="H13" s="26" t="s">
        <v>79</v>
      </c>
      <c r="I13" s="27">
        <f>COUNTIF('Compile Sheet '!$D$4:$D$57,$H13)</f>
        <v>20</v>
      </c>
      <c r="J13" s="27" cm="1">
        <f t="array" ref="J13">SUMPRODUCT(('Compile Sheet '!$D$4:$D$57=$H13)*ISNUMBER('Compile Sheet '!$E$4:$X$57))</f>
        <v>197</v>
      </c>
      <c r="K13" s="29">
        <f>IFERROR(SUMIF('Compile Sheet '!$D$4:$D$57,$H13,'Compile Sheet '!$Y$4:$Y$57)/J13,0)</f>
        <v>7.64002538071066</v>
      </c>
      <c r="M13" s="27" t="str" cm="1">
        <f t="array" ref="M13">INDEX('Compile Sheet '!$E$1:$X$1,ROWS($M$10:M13))</f>
        <v>S125</v>
      </c>
      <c r="N13" s="29">
        <f>IFERROR(AVERAGEIFS(INDEX('Compile Sheet '!$E$4:$X$57,0,ROWS($M$10:M13)),'Compile Sheet '!$B$4:$B$57,"&lt;&gt;"),"-")</f>
        <v>6.9391304347826086</v>
      </c>
      <c r="O13" s="27">
        <f>COUNTIFS(INDEX('Compile Sheet '!$E$4:$X$57,0,ROWS($M$10:M13)),"&gt;=0",'Compile Sheet '!$B$4:$B$57,"&lt;&gt;")</f>
        <v>23</v>
      </c>
    </row>
    <row r="14" spans="1:15" ht="18" customHeight="1">
      <c r="A14" s="26" t="s">
        <v>49</v>
      </c>
      <c r="B14" s="27">
        <f>COUNTIF('Compile Sheet '!$C$4:$C$57,$A14)</f>
        <v>7</v>
      </c>
      <c r="C14" s="27" cm="1">
        <f t="array" ref="C14">SUMPRODUCT(('Compile Sheet '!$C$4:$C$57=$A14)*ISNUMBER('Compile Sheet '!$E$4:$X$57))</f>
        <v>86</v>
      </c>
      <c r="D14" s="28">
        <f>SUMIF('Compile Sheet '!$C$4:$C$57,$A14,'Compile Sheet '!$Y$4:$Y$57)</f>
        <v>657.74000000000012</v>
      </c>
      <c r="E14" s="29">
        <f>IFERROR(D14/C14,0)</f>
        <v>7.6481395348837227</v>
      </c>
      <c r="F14" s="27">
        <f>RANK(E14,$E$10:$E$17,0)</f>
        <v>6</v>
      </c>
      <c r="M14" s="27" t="str" cm="1">
        <f t="array" ref="M14">INDEX('Compile Sheet '!$E$1:$X$1,ROWS($M$10:M14))</f>
        <v>S126</v>
      </c>
      <c r="N14" s="29">
        <f>IFERROR(AVERAGEIFS(INDEX('Compile Sheet '!$E$4:$X$57,0,ROWS($M$10:M14)),'Compile Sheet '!$B$4:$B$57,"&lt;&gt;"),"-")</f>
        <v>7.1620833333333325</v>
      </c>
      <c r="O14" s="27">
        <f>COUNTIFS(INDEX('Compile Sheet '!$E$4:$X$57,0,ROWS($M$10:M14)),"&gt;=0",'Compile Sheet '!$B$4:$B$57,"&lt;&gt;")</f>
        <v>24</v>
      </c>
    </row>
    <row r="15" spans="1:15" ht="18" customHeight="1">
      <c r="A15" s="26" t="s">
        <v>76</v>
      </c>
      <c r="B15" s="27">
        <f>COUNTIF('Compile Sheet '!$C$4:$C$57,$A15)</f>
        <v>3</v>
      </c>
      <c r="C15" s="27" cm="1">
        <f t="array" ref="C15">SUMPRODUCT(('Compile Sheet '!$C$4:$C$57=$A15)*ISNUMBER('Compile Sheet '!$E$4:$X$57))</f>
        <v>10</v>
      </c>
      <c r="D15" s="28">
        <f>SUMIF('Compile Sheet '!$C$4:$C$57,$A15,'Compile Sheet '!$Y$4:$Y$57)</f>
        <v>80.97</v>
      </c>
      <c r="E15" s="29">
        <f>IFERROR(D15/C15,0)</f>
        <v>8.0969999999999995</v>
      </c>
      <c r="F15" s="27">
        <f>RANK(E15,$E$10:$E$17,0)</f>
        <v>3</v>
      </c>
      <c r="M15" s="27" t="str" cm="1">
        <f t="array" ref="M15">INDEX('Compile Sheet '!$E$1:$X$1,ROWS($M$10:M15))</f>
        <v>S127</v>
      </c>
      <c r="N15" s="29">
        <f>IFERROR(AVERAGEIFS(INDEX('Compile Sheet '!$E$4:$X$57,0,ROWS($M$10:M15)),'Compile Sheet '!$B$4:$B$57,"&lt;&gt;"),"-")</f>
        <v>6.8999999999999995</v>
      </c>
      <c r="O15" s="27">
        <f>COUNTIFS(INDEX('Compile Sheet '!$E$4:$X$57,0,ROWS($M$10:M15)),"&gt;=0",'Compile Sheet '!$B$4:$B$57,"&lt;&gt;")</f>
        <v>27</v>
      </c>
    </row>
    <row r="16" spans="1:15" ht="18" customHeight="1">
      <c r="A16" s="26" t="s">
        <v>45</v>
      </c>
      <c r="B16" s="27">
        <f>COUNTIF('Compile Sheet '!$C$4:$C$57,$A16)</f>
        <v>6</v>
      </c>
      <c r="C16" s="27" cm="1">
        <f t="array" ref="C16">SUMPRODUCT(('Compile Sheet '!$C$4:$C$57=$A16)*ISNUMBER('Compile Sheet '!$E$4:$X$57))</f>
        <v>102</v>
      </c>
      <c r="D16" s="28">
        <f>SUMIF('Compile Sheet '!$C$4:$C$57,$A16,'Compile Sheet '!$Y$4:$Y$57)</f>
        <v>763.31</v>
      </c>
      <c r="E16" s="29">
        <f>IFERROR(D16/C16,0)</f>
        <v>7.4834313725490187</v>
      </c>
      <c r="F16" s="27">
        <f>RANK(E16,$E$10:$E$17,0)</f>
        <v>7</v>
      </c>
      <c r="M16" s="27" t="str" cm="1">
        <f t="array" ref="M16">INDEX('Compile Sheet '!$E$1:$X$1,ROWS($M$10:M16))</f>
        <v>S128</v>
      </c>
      <c r="N16" s="29">
        <f>IFERROR(AVERAGEIFS(INDEX('Compile Sheet '!$E$4:$X$57,0,ROWS($M$10:M16)),'Compile Sheet '!$B$4:$B$57,"&lt;&gt;"),"-")</f>
        <v>6.5281481481481487</v>
      </c>
      <c r="O16" s="27">
        <f>COUNTIFS(INDEX('Compile Sheet '!$E$4:$X$57,0,ROWS($M$10:M16)),"&gt;=0",'Compile Sheet '!$B$4:$B$57,"&lt;&gt;")</f>
        <v>27</v>
      </c>
    </row>
    <row r="17" spans="1:15" ht="18" customHeight="1">
      <c r="A17" s="26" t="s">
        <v>51</v>
      </c>
      <c r="B17" s="27">
        <f>COUNTIF('Compile Sheet '!$C$4:$C$57,$A17)</f>
        <v>7</v>
      </c>
      <c r="C17" s="27" cm="1">
        <f t="array" ref="C17">SUMPRODUCT(('Compile Sheet '!$C$4:$C$57=$A17)*ISNUMBER('Compile Sheet '!$E$4:$X$57))</f>
        <v>87</v>
      </c>
      <c r="D17" s="28">
        <f>SUMIF('Compile Sheet '!$C$4:$C$57,$A17,'Compile Sheet '!$Y$4:$Y$57)</f>
        <v>621.59500000000003</v>
      </c>
      <c r="E17" s="29">
        <f>IFERROR(D17/C17,0)</f>
        <v>7.1447701149425287</v>
      </c>
      <c r="F17" s="27">
        <f>RANK(E17,$E$10:$E$17,0)</f>
        <v>8</v>
      </c>
      <c r="M17" s="27" t="str" cm="1">
        <f t="array" ref="M17">INDEX('Compile Sheet '!$E$1:$X$1,ROWS($M$10:M17))</f>
        <v>S129</v>
      </c>
      <c r="N17" s="29">
        <f>IFERROR(AVERAGEIFS(INDEX('Compile Sheet '!$E$4:$X$57,0,ROWS($M$10:M17)),'Compile Sheet '!$B$4:$B$57,"&lt;&gt;"),"-")</f>
        <v>7.11</v>
      </c>
      <c r="O17" s="27">
        <f>COUNTIFS(INDEX('Compile Sheet '!$E$4:$X$57,0,ROWS($M$10:M17)),"&gt;=0",'Compile Sheet '!$B$4:$B$57,"&lt;&gt;")</f>
        <v>32</v>
      </c>
    </row>
    <row r="18" spans="1:15" ht="18" customHeight="1">
      <c r="M18" s="27" t="str" cm="1">
        <f t="array" ref="M18">INDEX('Compile Sheet '!$E$1:$X$1,ROWS($M$10:M18))</f>
        <v>S130</v>
      </c>
      <c r="N18" s="29">
        <f>IFERROR(AVERAGEIFS(INDEX('Compile Sheet '!$E$4:$X$57,0,ROWS($M$10:M18)),'Compile Sheet '!$B$4:$B$57,"&lt;&gt;"),"-")</f>
        <v>6.5980000000000008</v>
      </c>
      <c r="O18" s="27">
        <f>COUNTIFS(INDEX('Compile Sheet '!$E$4:$X$57,0,ROWS($M$10:M18)),"&gt;=0",'Compile Sheet '!$B$4:$B$57,"&lt;&gt;")</f>
        <v>30</v>
      </c>
    </row>
    <row r="19" spans="1:15" ht="18" customHeight="1">
      <c r="A19" s="20" t="s">
        <v>117</v>
      </c>
      <c r="M19" s="27" t="str" cm="1">
        <f t="array" ref="M19">INDEX('Compile Sheet '!$E$1:$X$1,ROWS($M$10:M19))</f>
        <v>S131</v>
      </c>
      <c r="N19" s="29">
        <f>IFERROR(AVERAGEIFS(INDEX('Compile Sheet '!$E$4:$X$57,0,ROWS($M$10:M19)),'Compile Sheet '!$B$4:$B$57,"&lt;&gt;"),"-")</f>
        <v>8.3016216216216225</v>
      </c>
      <c r="O19" s="27">
        <f>COUNTIFS(INDEX('Compile Sheet '!$E$4:$X$57,0,ROWS($M$10:M19)),"&gt;=0",'Compile Sheet '!$B$4:$B$57,"&lt;&gt;")</f>
        <v>37</v>
      </c>
    </row>
    <row r="20" spans="1:15" ht="18" customHeight="1">
      <c r="A20" s="21" t="s">
        <v>118</v>
      </c>
      <c r="B20" s="21" t="s">
        <v>28</v>
      </c>
      <c r="C20" s="21" t="s">
        <v>3</v>
      </c>
      <c r="D20" s="21" t="s">
        <v>33</v>
      </c>
      <c r="E20" s="21" t="s">
        <v>29</v>
      </c>
      <c r="F20" s="21" t="s">
        <v>31</v>
      </c>
      <c r="M20" s="27" t="str" cm="1">
        <f t="array" ref="M20">INDEX('Compile Sheet '!$E$1:$X$1,ROWS($M$10:M20))</f>
        <v>S132</v>
      </c>
      <c r="N20" s="29">
        <f>IFERROR(AVERAGEIFS(INDEX('Compile Sheet '!$E$4:$X$57,0,ROWS($M$10:M20)),'Compile Sheet '!$B$4:$B$57,"&lt;&gt;"),"-")</f>
        <v>8.5</v>
      </c>
      <c r="O20" s="27">
        <f>COUNTIFS(INDEX('Compile Sheet '!$E$4:$X$57,0,ROWS($M$10:M20)),"&gt;=0",'Compile Sheet '!$B$4:$B$57,"&lt;&gt;")</f>
        <v>38</v>
      </c>
    </row>
    <row r="21" spans="1:15" ht="18" customHeight="1">
      <c r="A21" s="27">
        <v>1</v>
      </c>
      <c r="B21" s="26" t="str" cm="1">
        <f t="array" ref="B21">IFERROR(INDEX(_xlfn.SORTBY(_xlfn._xlws.FILTER('Compile Sheet '!$AC$4:$AC$57,(ISNUMBER('Compile Sheet '!$AE$4:$AE$57)*('Compile Sheet '!$AE$4:$AE$57&gt;=$F$5))),_xlfn._xlws.FILTER('Compile Sheet '!$AG$4:$AG$57,(ISNUMBER('Compile Sheet '!$AE$4:$AE$57)*('Compile Sheet '!$AE$4:$AE$57&gt;=$F$5))),-1),$A21),"")</f>
        <v>Niba Tandukar</v>
      </c>
      <c r="C21" s="27" t="str">
        <f>IF(B21="","",_xlfn.XLOOKUP(B21,'Compile Sheet '!$B$4:$B$57,'Compile Sheet '!$D$4:$D$57))</f>
        <v>Team Lead</v>
      </c>
      <c r="D21" s="26" t="str">
        <f>IF(B21="","",_xlfn.XLOOKUP(B21,'Compile Sheet '!$B$4:$B$57,'Compile Sheet '!$C$4:$C$57))</f>
        <v>DevOps</v>
      </c>
      <c r="E21" s="27">
        <f>IF(B21="","",_xlfn.XLOOKUP(B21,'Compile Sheet '!$AC$4:$AC$57,'Compile Sheet '!$AE$4:$AE$57))</f>
        <v>10</v>
      </c>
      <c r="F21" s="29">
        <f>IF(B21="","",_xlfn.XLOOKUP(B21,'Compile Sheet '!$AC$4:$AC$57,'Compile Sheet '!$AG$4:$AG$57))</f>
        <v>9.5259999999999998</v>
      </c>
      <c r="M21" s="27" t="str" cm="1">
        <f t="array" ref="M21">INDEX('Compile Sheet '!$E$1:$X$1,ROWS($M$10:M21))</f>
        <v>S133</v>
      </c>
      <c r="N21" s="29">
        <f>IFERROR(AVERAGEIFS(INDEX('Compile Sheet '!$E$4:$X$57,0,ROWS($M$10:M21)),'Compile Sheet '!$B$4:$B$57,"&lt;&gt;"),"-")</f>
        <v>8.6507317073170746</v>
      </c>
      <c r="O21" s="27">
        <f>COUNTIFS(INDEX('Compile Sheet '!$E$4:$X$57,0,ROWS($M$10:M21)),"&gt;=0",'Compile Sheet '!$B$4:$B$57,"&lt;&gt;")</f>
        <v>41</v>
      </c>
    </row>
    <row r="22" spans="1:15" ht="18" customHeight="1">
      <c r="A22" s="27">
        <v>2</v>
      </c>
      <c r="B22" s="26" t="str" cm="1">
        <f t="array" ref="B22">IFERROR(INDEX(_xlfn.SORTBY(_xlfn._xlws.FILTER('Compile Sheet '!$AC$4:$AC$57,(ISNUMBER('Compile Sheet '!$AE$4:$AE$57)*('Compile Sheet '!$AE$4:$AE$57&gt;=$F$5))),_xlfn._xlws.FILTER('Compile Sheet '!$AG$4:$AG$57,(ISNUMBER('Compile Sheet '!$AE$4:$AE$57)*('Compile Sheet '!$AE$4:$AE$57&gt;=$F$5))),-1),$A22),"")</f>
        <v>Sajjan Khanal</v>
      </c>
      <c r="C22" s="27" t="str">
        <f>IF(B22="","",_xlfn.XLOOKUP(B22,'Compile Sheet '!$B$4:$B$57,'Compile Sheet '!$D$4:$D$57))</f>
        <v>SE</v>
      </c>
      <c r="D22" s="26" t="str">
        <f>IF(B22="","",_xlfn.XLOOKUP(B22,'Compile Sheet '!$B$4:$B$57,'Compile Sheet '!$C$4:$C$57))</f>
        <v>DevOps</v>
      </c>
      <c r="E22" s="27">
        <f>IF(B22="","",_xlfn.XLOOKUP(B22,'Compile Sheet '!$AC$4:$AC$57,'Compile Sheet '!$AE$4:$AE$57))</f>
        <v>9</v>
      </c>
      <c r="F22" s="29">
        <f>IF(B22="","",_xlfn.XLOOKUP(B22,'Compile Sheet '!$AC$4:$AC$57,'Compile Sheet '!$AG$4:$AG$57))</f>
        <v>8.9955555555555549</v>
      </c>
      <c r="M22" s="27" t="str" cm="1">
        <f t="array" ref="M22">INDEX('Compile Sheet '!$E$1:$X$1,ROWS($M$10:M22))</f>
        <v>S134</v>
      </c>
      <c r="N22" s="29">
        <f>IFERROR(AVERAGEIFS(INDEX('Compile Sheet '!$E$4:$X$57,0,ROWS($M$10:M22)),'Compile Sheet '!$B$4:$B$57,"&lt;&gt;"),"-")</f>
        <v>8.6056097560975591</v>
      </c>
      <c r="O22" s="27">
        <f>COUNTIFS(INDEX('Compile Sheet '!$E$4:$X$57,0,ROWS($M$10:M22)),"&gt;=0",'Compile Sheet '!$B$4:$B$57,"&lt;&gt;")</f>
        <v>41</v>
      </c>
    </row>
    <row r="23" spans="1:15" ht="18" customHeight="1">
      <c r="A23" s="27">
        <v>3</v>
      </c>
      <c r="B23" s="26" t="str" cm="1">
        <f t="array" ref="B23">IFERROR(INDEX(_xlfn.SORTBY(_xlfn._xlws.FILTER('Compile Sheet '!$AC$4:$AC$57,(ISNUMBER('Compile Sheet '!$AE$4:$AE$57)*('Compile Sheet '!$AE$4:$AE$57&gt;=$F$5))),_xlfn._xlws.FILTER('Compile Sheet '!$AG$4:$AG$57,(ISNUMBER('Compile Sheet '!$AE$4:$AE$57)*('Compile Sheet '!$AE$4:$AE$57&gt;=$F$5))),-1),$A23),"")</f>
        <v>Jeevan Joshi</v>
      </c>
      <c r="C23" s="27" t="str">
        <f>IF(B23="","",_xlfn.XLOOKUP(B23,'Compile Sheet '!$B$4:$B$57,'Compile Sheet '!$D$4:$D$57))</f>
        <v>SE</v>
      </c>
      <c r="D23" s="26" t="str">
        <f>IF(B23="","",_xlfn.XLOOKUP(B23,'Compile Sheet '!$B$4:$B$57,'Compile Sheet '!$C$4:$C$57))</f>
        <v>Run Team</v>
      </c>
      <c r="E23" s="27">
        <f>IF(B23="","",_xlfn.XLOOKUP(B23,'Compile Sheet '!$AC$4:$AC$57,'Compile Sheet '!$AE$4:$AE$57))</f>
        <v>9</v>
      </c>
      <c r="F23" s="29">
        <f>IF(B23="","",_xlfn.XLOOKUP(B23,'Compile Sheet '!$AC$4:$AC$57,'Compile Sheet '!$AG$4:$AG$57))</f>
        <v>8.9777777777777796</v>
      </c>
      <c r="M23" s="27" t="str" cm="1">
        <f t="array" ref="M23">INDEX('Compile Sheet '!$E$1:$X$1,ROWS($M$10:M23))</f>
        <v>S135</v>
      </c>
      <c r="N23" s="29">
        <f>IFERROR(AVERAGEIFS(INDEX('Compile Sheet '!$E$4:$X$57,0,ROWS($M$10:M23)),'Compile Sheet '!$B$4:$B$57,"&lt;&gt;"),"-")</f>
        <v>8.3831707317073185</v>
      </c>
      <c r="O23" s="27">
        <f>COUNTIFS(INDEX('Compile Sheet '!$E$4:$X$57,0,ROWS($M$10:M23)),"&gt;=0",'Compile Sheet '!$B$4:$B$57,"&lt;&gt;")</f>
        <v>41</v>
      </c>
    </row>
    <row r="24" spans="1:15" ht="18" customHeight="1">
      <c r="A24" s="27">
        <v>4</v>
      </c>
      <c r="B24" s="26" t="str" cm="1">
        <f t="array" ref="B24">IFERROR(INDEX(_xlfn.SORTBY(_xlfn._xlws.FILTER('Compile Sheet '!$AC$4:$AC$57,(ISNUMBER('Compile Sheet '!$AE$4:$AE$57)*('Compile Sheet '!$AE$4:$AE$57&gt;=$F$5))),_xlfn._xlws.FILTER('Compile Sheet '!$AG$4:$AG$57,(ISNUMBER('Compile Sheet '!$AE$4:$AE$57)*('Compile Sheet '!$AE$4:$AE$57&gt;=$F$5))),-1),$A24),"")</f>
        <v>Soniya Sharma</v>
      </c>
      <c r="C24" s="27" t="str">
        <f>IF(B24="","",_xlfn.XLOOKUP(B24,'Compile Sheet '!$B$4:$B$57,'Compile Sheet '!$D$4:$D$57))</f>
        <v>ASE</v>
      </c>
      <c r="D24" s="26" t="str">
        <f>IF(B24="","",_xlfn.XLOOKUP(B24,'Compile Sheet '!$B$4:$B$57,'Compile Sheet '!$C$4:$C$57))</f>
        <v>DevOps</v>
      </c>
      <c r="E24" s="27">
        <f>IF(B24="","",_xlfn.XLOOKUP(B24,'Compile Sheet '!$AC$4:$AC$57,'Compile Sheet '!$AE$4:$AE$57))</f>
        <v>9</v>
      </c>
      <c r="F24" s="29">
        <f>IF(B24="","",_xlfn.XLOOKUP(B24,'Compile Sheet '!$AC$4:$AC$57,'Compile Sheet '!$AG$4:$AG$57))</f>
        <v>8.913333333333334</v>
      </c>
      <c r="M24" s="27" t="str" cm="1">
        <f t="array" ref="M24">INDEX('Compile Sheet '!$E$1:$X$1,ROWS($M$10:M24))</f>
        <v>S136</v>
      </c>
      <c r="N24" s="29">
        <f>IFERROR(AVERAGEIFS(INDEX('Compile Sheet '!$E$4:$X$57,0,ROWS($M$10:M24)),'Compile Sheet '!$B$4:$B$57,"&lt;&gt;"),"-")</f>
        <v>8.4153658536585372</v>
      </c>
      <c r="O24" s="27">
        <f>COUNTIFS(INDEX('Compile Sheet '!$E$4:$X$57,0,ROWS($M$10:M24)),"&gt;=0",'Compile Sheet '!$B$4:$B$57,"&lt;&gt;")</f>
        <v>41</v>
      </c>
    </row>
    <row r="25" spans="1:15" ht="18" customHeight="1">
      <c r="A25" s="27">
        <v>5</v>
      </c>
      <c r="B25" s="26" t="str" cm="1">
        <f t="array" ref="B25">IFERROR(INDEX(_xlfn.SORTBY(_xlfn._xlws.FILTER('Compile Sheet '!$AC$4:$AC$57,(ISNUMBER('Compile Sheet '!$AE$4:$AE$57)*('Compile Sheet '!$AE$4:$AE$57&gt;=$F$5))),_xlfn._xlws.FILTER('Compile Sheet '!$AG$4:$AG$57,(ISNUMBER('Compile Sheet '!$AE$4:$AE$57)*('Compile Sheet '!$AE$4:$AE$57&gt;=$F$5))),-1),$A25),"")</f>
        <v>Bishal Stha</v>
      </c>
      <c r="C25" s="27" t="str">
        <f>IF(B25="","",_xlfn.XLOOKUP(B25,'Compile Sheet '!$B$4:$B$57,'Compile Sheet '!$D$4:$D$57))</f>
        <v>Team Lead</v>
      </c>
      <c r="D25" s="26" t="str">
        <f>IF(B25="","",_xlfn.XLOOKUP(B25,'Compile Sheet '!$B$4:$B$57,'Compile Sheet '!$C$4:$C$57))</f>
        <v>Team Bravo</v>
      </c>
      <c r="E25" s="27">
        <f>IF(B25="","",_xlfn.XLOOKUP(B25,'Compile Sheet '!$AC$4:$AC$57,'Compile Sheet '!$AE$4:$AE$57))</f>
        <v>14</v>
      </c>
      <c r="F25" s="29">
        <f>IF(B25="","",_xlfn.XLOOKUP(B25,'Compile Sheet '!$AC$4:$AC$57,'Compile Sheet '!$AG$4:$AG$57))</f>
        <v>8.8864285714285725</v>
      </c>
      <c r="M25" s="27" t="str" cm="1">
        <f t="array" ref="M25">INDEX('Compile Sheet '!$E$1:$X$1,ROWS($M$10:M25))</f>
        <v>S137</v>
      </c>
      <c r="N25" s="29">
        <f>IFERROR(AVERAGEIFS(INDEX('Compile Sheet '!$E$4:$X$57,0,ROWS($M$10:M25)),'Compile Sheet '!$B$4:$B$57,"&lt;&gt;"),"-")</f>
        <v>8.3414634146341431</v>
      </c>
      <c r="O25" s="27">
        <f>COUNTIFS(INDEX('Compile Sheet '!$E$4:$X$57,0,ROWS($M$10:M25)),"&gt;=0",'Compile Sheet '!$B$4:$B$57,"&lt;&gt;")</f>
        <v>41</v>
      </c>
    </row>
    <row r="26" spans="1:15" ht="18" customHeight="1">
      <c r="A26" s="27">
        <v>6</v>
      </c>
      <c r="B26" s="26" t="str" cm="1">
        <f t="array" ref="B26">IFERROR(INDEX(_xlfn.SORTBY(_xlfn._xlws.FILTER('Compile Sheet '!$AC$4:$AC$57,(ISNUMBER('Compile Sheet '!$AE$4:$AE$57)*('Compile Sheet '!$AE$4:$AE$57&gt;=$F$5))),_xlfn._xlws.FILTER('Compile Sheet '!$AG$4:$AG$57,(ISNUMBER('Compile Sheet '!$AE$4:$AE$57)*('Compile Sheet '!$AE$4:$AE$57&gt;=$F$5))),-1),$A26),"")</f>
        <v>Ravi Gupta</v>
      </c>
      <c r="C26" s="27" t="str">
        <f>IF(B26="","",_xlfn.XLOOKUP(B26,'Compile Sheet '!$B$4:$B$57,'Compile Sheet '!$D$4:$D$57))</f>
        <v>SSE</v>
      </c>
      <c r="D26" s="26" t="str">
        <f>IF(B26="","",_xlfn.XLOOKUP(B26,'Compile Sheet '!$B$4:$B$57,'Compile Sheet '!$C$4:$C$57))</f>
        <v>DevOps</v>
      </c>
      <c r="E26" s="27">
        <f>IF(B26="","",_xlfn.XLOOKUP(B26,'Compile Sheet '!$AC$4:$AC$57,'Compile Sheet '!$AE$4:$AE$57))</f>
        <v>10</v>
      </c>
      <c r="F26" s="29">
        <f>IF(B26="","",_xlfn.XLOOKUP(B26,'Compile Sheet '!$AC$4:$AC$57,'Compile Sheet '!$AG$4:$AG$57))</f>
        <v>8.6770000000000014</v>
      </c>
      <c r="M26" s="27" t="str" cm="1">
        <f t="array" ref="M26">INDEX('Compile Sheet '!$E$1:$X$1,ROWS($M$10:M26))</f>
        <v>S138</v>
      </c>
      <c r="N26" s="29">
        <f>IFERROR(AVERAGEIFS(INDEX('Compile Sheet '!$E$4:$X$57,0,ROWS($M$10:M26)),'Compile Sheet '!$B$4:$B$57,"&lt;&gt;"),"-")</f>
        <v>8.4085106382978729</v>
      </c>
      <c r="O26" s="27">
        <f>COUNTIFS(INDEX('Compile Sheet '!$E$4:$X$57,0,ROWS($M$10:M26)),"&gt;=0",'Compile Sheet '!$B$4:$B$57,"&lt;&gt;")</f>
        <v>47</v>
      </c>
    </row>
    <row r="27" spans="1:15" ht="18" customHeight="1">
      <c r="A27" s="27">
        <v>7</v>
      </c>
      <c r="B27" s="26" t="str" cm="1">
        <f t="array" ref="B27">IFERROR(INDEX(_xlfn.SORTBY(_xlfn._xlws.FILTER('Compile Sheet '!$AC$4:$AC$57,(ISNUMBER('Compile Sheet '!$AE$4:$AE$57)*('Compile Sheet '!$AE$4:$AE$57&gt;=$F$5))),_xlfn._xlws.FILTER('Compile Sheet '!$AG$4:$AG$57,(ISNUMBER('Compile Sheet '!$AE$4:$AE$57)*('Compile Sheet '!$AE$4:$AE$57&gt;=$F$5))),-1),$A27),"")</f>
        <v>Dipak Raj Giri</v>
      </c>
      <c r="C27" s="27" t="str">
        <f>IF(B27="","",_xlfn.XLOOKUP(B27,'Compile Sheet '!$B$4:$B$57,'Compile Sheet '!$D$4:$D$57))</f>
        <v>ASE</v>
      </c>
      <c r="D27" s="26" t="str">
        <f>IF(B27="","",_xlfn.XLOOKUP(B27,'Compile Sheet '!$B$4:$B$57,'Compile Sheet '!$C$4:$C$57))</f>
        <v>Team Bimal</v>
      </c>
      <c r="E27" s="27">
        <f>IF(B27="","",_xlfn.XLOOKUP(B27,'Compile Sheet '!$AC$4:$AC$57,'Compile Sheet '!$AE$4:$AE$57))</f>
        <v>6</v>
      </c>
      <c r="F27" s="29">
        <f>IF(B27="","",_xlfn.XLOOKUP(B27,'Compile Sheet '!$AC$4:$AC$57,'Compile Sheet '!$AG$4:$AG$57))</f>
        <v>8.6016666666666666</v>
      </c>
      <c r="M27" s="27" t="str" cm="1">
        <f t="array" ref="M27">INDEX('Compile Sheet '!$E$1:$X$1,ROWS($M$10:M27))</f>
        <v>S139</v>
      </c>
      <c r="N27" s="29" t="str">
        <f>IFERROR(AVERAGEIFS(INDEX('Compile Sheet '!$E$4:$X$57,0,ROWS($M$10:M27)),'Compile Sheet '!$B$4:$B$57,"&lt;&gt;"),"-")</f>
        <v>-</v>
      </c>
      <c r="O27" s="27">
        <f>COUNTIFS(INDEX('Compile Sheet '!$E$4:$X$57,0,ROWS($M$10:M27)),"&gt;=0",'Compile Sheet '!$B$4:$B$57,"&lt;&gt;")</f>
        <v>0</v>
      </c>
    </row>
    <row r="28" spans="1:15" ht="18" customHeight="1">
      <c r="A28" s="27">
        <v>8</v>
      </c>
      <c r="B28" s="26" t="str" cm="1">
        <f t="array" ref="B28">IFERROR(INDEX(_xlfn.SORTBY(_xlfn._xlws.FILTER('Compile Sheet '!$AC$4:$AC$57,(ISNUMBER('Compile Sheet '!$AE$4:$AE$57)*('Compile Sheet '!$AE$4:$AE$57&gt;=$F$5))),_xlfn._xlws.FILTER('Compile Sheet '!$AG$4:$AG$57,(ISNUMBER('Compile Sheet '!$AE$4:$AE$57)*('Compile Sheet '!$AE$4:$AE$57&gt;=$F$5))),-1),$A28),"")</f>
        <v>Shreeya Shakya</v>
      </c>
      <c r="C28" s="27" t="str">
        <f>IF(B28="","",_xlfn.XLOOKUP(B28,'Compile Sheet '!$B$4:$B$57,'Compile Sheet '!$D$4:$D$57))</f>
        <v>SE</v>
      </c>
      <c r="D28" s="26" t="str">
        <f>IF(B28="","",_xlfn.XLOOKUP(B28,'Compile Sheet '!$B$4:$B$57,'Compile Sheet '!$C$4:$C$57))</f>
        <v>Team Bravo</v>
      </c>
      <c r="E28" s="27">
        <f>IF(B28="","",_xlfn.XLOOKUP(B28,'Compile Sheet '!$AC$4:$AC$57,'Compile Sheet '!$AE$4:$AE$57))</f>
        <v>17</v>
      </c>
      <c r="F28" s="29">
        <f>IF(B28="","",_xlfn.XLOOKUP(B28,'Compile Sheet '!$AC$4:$AC$57,'Compile Sheet '!$AG$4:$AG$57))</f>
        <v>8.5182352941176482</v>
      </c>
      <c r="M28" s="27" t="str" cm="1">
        <f t="array" ref="M28">INDEX('Compile Sheet '!$E$1:$X$1,ROWS($M$10:M28))</f>
        <v>S140</v>
      </c>
      <c r="N28" s="29" t="str">
        <f>IFERROR(AVERAGEIFS(INDEX('Compile Sheet '!$E$4:$X$57,0,ROWS($M$10:M28)),'Compile Sheet '!$B$4:$B$57,"&lt;&gt;"),"-")</f>
        <v>-</v>
      </c>
      <c r="O28" s="27">
        <f>COUNTIFS(INDEX('Compile Sheet '!$E$4:$X$57,0,ROWS($M$10:M28)),"&gt;=0",'Compile Sheet '!$B$4:$B$57,"&lt;&gt;")</f>
        <v>0</v>
      </c>
    </row>
    <row r="29" spans="1:15" ht="18" customHeight="1">
      <c r="A29" s="27">
        <v>9</v>
      </c>
      <c r="B29" s="26" t="str" cm="1">
        <f t="array" ref="B29">IFERROR(INDEX(_xlfn.SORTBY(_xlfn._xlws.FILTER('Compile Sheet '!$AC$4:$AC$57,(ISNUMBER('Compile Sheet '!$AE$4:$AE$57)*('Compile Sheet '!$AE$4:$AE$57&gt;=$F$5))),_xlfn._xlws.FILTER('Compile Sheet '!$AG$4:$AG$57,(ISNUMBER('Compile Sheet '!$AE$4:$AE$57)*('Compile Sheet '!$AE$4:$AE$57&gt;=$F$5))),-1),$A29),"")</f>
        <v>Ramita Shrestha</v>
      </c>
      <c r="C29" s="27" t="str">
        <f>IF(B29="","",_xlfn.XLOOKUP(B29,'Compile Sheet '!$B$4:$B$57,'Compile Sheet '!$D$4:$D$57))</f>
        <v>ASE</v>
      </c>
      <c r="D29" s="26" t="str">
        <f>IF(B29="","",_xlfn.XLOOKUP(B29,'Compile Sheet '!$B$4:$B$57,'Compile Sheet '!$C$4:$C$57))</f>
        <v>Team Bimal</v>
      </c>
      <c r="E29" s="27">
        <f>IF(B29="","",_xlfn.XLOOKUP(B29,'Compile Sheet '!$AC$4:$AC$57,'Compile Sheet '!$AE$4:$AE$57))</f>
        <v>12</v>
      </c>
      <c r="F29" s="29">
        <f>IF(B29="","",_xlfn.XLOOKUP(B29,'Compile Sheet '!$AC$4:$AC$57,'Compile Sheet '!$AG$4:$AG$57))</f>
        <v>8.3624999999999989</v>
      </c>
      <c r="M29" s="27" t="str" cm="1">
        <f t="array" ref="M29">INDEX('Compile Sheet '!$E$1:$X$1,ROWS($M$10:M29))</f>
        <v>S141</v>
      </c>
      <c r="N29" s="29" t="str">
        <f>IFERROR(AVERAGEIFS(INDEX('Compile Sheet '!$E$4:$X$57,0,ROWS($M$10:M29)),'Compile Sheet '!$B$4:$B$57,"&lt;&gt;"),"-")</f>
        <v>-</v>
      </c>
      <c r="O29" s="27">
        <f>COUNTIFS(INDEX('Compile Sheet '!$E$4:$X$57,0,ROWS($M$10:M29)),"&gt;=0",'Compile Sheet '!$B$4:$B$57,"&lt;&gt;")</f>
        <v>0</v>
      </c>
    </row>
    <row r="30" spans="1:15" ht="18" customHeight="1">
      <c r="A30" s="27">
        <v>10</v>
      </c>
      <c r="B30" s="26" t="str" cm="1">
        <f t="array" ref="B30">IFERROR(INDEX(_xlfn.SORTBY(_xlfn._xlws.FILTER('Compile Sheet '!$AC$4:$AC$57,(ISNUMBER('Compile Sheet '!$AE$4:$AE$57)*('Compile Sheet '!$AE$4:$AE$57&gt;=$F$5))),_xlfn._xlws.FILTER('Compile Sheet '!$AG$4:$AG$57,(ISNUMBER('Compile Sheet '!$AE$4:$AE$57)*('Compile Sheet '!$AE$4:$AE$57&gt;=$F$5))),-1),$A30),"")</f>
        <v>Rashik Shrestha</v>
      </c>
      <c r="C30" s="27" t="str">
        <f>IF(B30="","",_xlfn.XLOOKUP(B30,'Compile Sheet '!$B$4:$B$57,'Compile Sheet '!$D$4:$D$57))</f>
        <v>SE</v>
      </c>
      <c r="D30" s="26" t="str">
        <f>IF(B30="","",_xlfn.XLOOKUP(B30,'Compile Sheet '!$B$4:$B$57,'Compile Sheet '!$C$4:$C$57))</f>
        <v>Run Team</v>
      </c>
      <c r="E30" s="27">
        <f>IF(B30="","",_xlfn.XLOOKUP(B30,'Compile Sheet '!$AC$4:$AC$57,'Compile Sheet '!$AE$4:$AE$57))</f>
        <v>15</v>
      </c>
      <c r="F30" s="29">
        <f>IF(B30="","",_xlfn.XLOOKUP(B30,'Compile Sheet '!$AC$4:$AC$57,'Compile Sheet '!$AG$4:$AG$57))</f>
        <v>8.2900000000000009</v>
      </c>
    </row>
    <row r="31" spans="1:15" ht="18" customHeight="1"/>
    <row r="32" spans="1:15" ht="18" customHeight="1">
      <c r="A32" s="20" t="s">
        <v>119</v>
      </c>
    </row>
    <row r="33" spans="1:11">
      <c r="A33" s="67" t="str">
        <f>"Top established performer (≥"&amp;$F$5&amp;" sprints): "&amp;B21&amp;" ("&amp;D21&amp;") at "&amp;TEXT(F21,"0.00")&amp;" over "&amp;E21&amp;" sprints. Overall #1 by raw average: "&amp;INDEX('Compile Sheet '!$AC$4:$AC$57,MATCH(1,'Compile Sheet '!$AH$4:$AH$57,0))&amp;" at "&amp;TEXT(INDEX('Compile Sheet '!$AG$4:$AG$57,MATCH(1,'Compile Sheet '!$AH$4:$AH$57,0)),"0.00")&amp;" over "&amp;INDEX('Compile Sheet '!$AE$4:$AE$57,MATCH(1,'Compile Sheet '!$AH$4:$AH$57,0))&amp;" sprint(s). Leading team: "&amp;INDEX($A$10:$A$17,MATCH(1,$F$10:$F$17,0))&amp;" at "&amp;TEXT(INDEX($E$10:$E$17,MATCH(1,$F$10:$F$17,0)),"0.00")&amp;". Latest sprint "&amp;$C$5&amp;" averaged "&amp;TEXT($D$5,"0.00")&amp;" with "&amp;TEXT($E$5,"0%")&amp;" coverage."</f>
        <v>Top established performer (≥5 sprints): Niba Tandukar (DevOps) at 9.53 over 10 sprints. Overall #1 by raw average: Dilendra Thagunna at 10.00 over 1 sprint(s). Leading team: DevOps at 8.97. Latest sprint S138 averaged 8.41 with 96% coverage.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</row>
    <row r="34" spans="1:1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</row>
    <row r="35" spans="1:1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</row>
    <row r="36" spans="1:1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</row>
  </sheetData>
  <mergeCells count="1">
    <mergeCell ref="A33:K36"/>
  </mergeCells>
  <conditionalFormatting sqref="N10:N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:E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7BB2-E747-4D80-9DD4-D5236C1D23E4}">
  <dimension ref="A1:G57"/>
  <sheetViews>
    <sheetView workbookViewId="0">
      <selection activeCell="E11" sqref="E11"/>
    </sheetView>
  </sheetViews>
  <sheetFormatPr defaultColWidth="57.85546875" defaultRowHeight="15"/>
  <cols>
    <col min="1" max="1" width="35.28515625" bestFit="1" customWidth="1"/>
    <col min="2" max="2" width="12.42578125" bestFit="1" customWidth="1"/>
    <col min="3" max="3" width="20.140625" bestFit="1" customWidth="1"/>
    <col min="4" max="4" width="19.85546875" bestFit="1" customWidth="1"/>
    <col min="6" max="6" width="17" bestFit="1" customWidth="1"/>
    <col min="7" max="7" width="11.5703125" bestFit="1" customWidth="1"/>
  </cols>
  <sheetData>
    <row r="1" spans="1:7">
      <c r="A1" s="30" t="s">
        <v>28</v>
      </c>
      <c r="B1" s="30" t="s">
        <v>33</v>
      </c>
      <c r="C1" s="30" t="str">
        <f>"Average ("&amp;G3&amp;"–"&amp;G2&amp;")"</f>
        <v>Average (S133–S138)</v>
      </c>
      <c r="D1" s="30" t="s">
        <v>120</v>
      </c>
      <c r="F1" s="53" t="s">
        <v>121</v>
      </c>
      <c r="G1" s="54">
        <v>6</v>
      </c>
    </row>
    <row r="2" spans="1:7">
      <c r="A2" s="30" t="s">
        <v>122</v>
      </c>
      <c r="B2" s="31" t="s">
        <v>123</v>
      </c>
      <c r="C2" s="2" cm="1">
        <f t="array" aca="1" ref="C2" ca="1">IF(D2="","",IFERROR(AVERAGE(INDEX('Compile Sheet '!$E$4:$X$57,MATCH(TRIM(D2),TRIM('Compile Sheet '!$B$4:$B$57),0),MATCH($G$3,'Compile Sheet '!$E$1:$X$1,0)):INDEX('Compile Sheet '!$E$4:$X$57,MATCH(TRIM(D2),TRIM('Compile Sheet '!$B$4:$B$57),0),MATCH($G$2,'Compile Sheet '!$E$1:$X$1,0))),"No data"))</f>
        <v>7.873333333333334</v>
      </c>
      <c r="D2" s="16" t="s">
        <v>48</v>
      </c>
      <c r="F2" s="53" t="s">
        <v>124</v>
      </c>
      <c r="G2" s="55" t="str">
        <f>'Performance Insights'!C5</f>
        <v>S138</v>
      </c>
    </row>
    <row r="3" spans="1:7">
      <c r="A3" s="32" t="s">
        <v>125</v>
      </c>
      <c r="B3" s="31" t="s">
        <v>123</v>
      </c>
      <c r="C3" s="2" cm="1">
        <f t="array" aca="1" ref="C3" ca="1">IF(D3="","",IFERROR(AVERAGE(INDEX('Compile Sheet '!$E$4:$X$57,MATCH(TRIM(D3),TRIM('Compile Sheet '!$B$4:$B$57),0),MATCH($G$3,'Compile Sheet '!$E$1:$X$1,0)):INDEX('Compile Sheet '!$E$4:$X$57,MATCH(TRIM(D3),TRIM('Compile Sheet '!$B$4:$B$57),0),MATCH($G$2,'Compile Sheet '!$E$1:$X$1,0))),"No data"))</f>
        <v>8.7833333333333332</v>
      </c>
      <c r="D3" s="16" t="s">
        <v>53</v>
      </c>
      <c r="F3" s="53" t="s">
        <v>126</v>
      </c>
      <c r="G3" s="55" t="str" cm="1">
        <f t="array" ref="G3">INDEX('Compile Sheet '!$E$1:$X$1,MAX(1,MATCH(G2,'Compile Sheet '!$E$1:$X$1,0)-G1+1))</f>
        <v>S133</v>
      </c>
    </row>
    <row r="4" spans="1:7">
      <c r="A4" s="32" t="s">
        <v>127</v>
      </c>
      <c r="B4" s="33" t="s">
        <v>123</v>
      </c>
      <c r="C4" s="2" cm="1">
        <f t="array" aca="1" ref="C4" ca="1">IF(D4="","",IFERROR(AVERAGE(INDEX('Compile Sheet '!$E$4:$X$57,MATCH(TRIM(D4),TRIM('Compile Sheet '!$B$4:$B$57),0),MATCH($G$3,'Compile Sheet '!$E$1:$X$1,0)):INDEX('Compile Sheet '!$E$4:$X$57,MATCH(TRIM(D4),TRIM('Compile Sheet '!$B$4:$B$57),0),MATCH($G$2,'Compile Sheet '!$E$1:$X$1,0))),"No data"))</f>
        <v>8.1199999999999992</v>
      </c>
      <c r="D4" s="16" t="s">
        <v>71</v>
      </c>
      <c r="F4" s="53" t="s">
        <v>128</v>
      </c>
      <c r="G4" s="56" t="str">
        <f>G3&amp;" – "&amp;G2</f>
        <v>S133 – S138</v>
      </c>
    </row>
    <row r="5" spans="1:7">
      <c r="A5" s="32" t="s">
        <v>129</v>
      </c>
      <c r="B5" s="33" t="s">
        <v>123</v>
      </c>
      <c r="C5" s="2" cm="1">
        <f t="array" aca="1" ref="C5" ca="1">IF(D5="","",IFERROR(AVERAGE(INDEX('Compile Sheet '!$E$4:$X$57,MATCH(TRIM(D5),TRIM('Compile Sheet '!$B$4:$B$57),0),MATCH($G$3,'Compile Sheet '!$E$1:$X$1,0)):INDEX('Compile Sheet '!$E$4:$X$57,MATCH(TRIM(D5),TRIM('Compile Sheet '!$B$4:$B$57),0),MATCH($G$2,'Compile Sheet '!$E$1:$X$1,0))),"No data"))</f>
        <v>8.6016666666666666</v>
      </c>
      <c r="D5" s="16" t="s">
        <v>93</v>
      </c>
    </row>
    <row r="6" spans="1:7">
      <c r="A6" s="34" t="s">
        <v>130</v>
      </c>
      <c r="B6" s="33" t="s">
        <v>123</v>
      </c>
      <c r="C6" s="2" cm="1">
        <f t="array" aca="1" ref="C6" ca="1">IF(D6="","",IFERROR(AVERAGE(INDEX('Compile Sheet '!$E$4:$X$57,MATCH(TRIM(D6),TRIM('Compile Sheet '!$B$4:$B$57),0),MATCH($G$3,'Compile Sheet '!$E$1:$X$1,0)):INDEX('Compile Sheet '!$E$4:$X$57,MATCH(TRIM(D6),TRIM('Compile Sheet '!$B$4:$B$57),0),MATCH($G$2,'Compile Sheet '!$E$1:$X$1,0))),"No data"))</f>
        <v>8.8949999999999996</v>
      </c>
      <c r="D6" s="16" t="s">
        <v>87</v>
      </c>
    </row>
    <row r="7" spans="1:7">
      <c r="A7" s="35" t="s">
        <v>131</v>
      </c>
      <c r="B7" s="36" t="s">
        <v>123</v>
      </c>
      <c r="C7" s="2" cm="1">
        <f t="array" aca="1" ref="C7" ca="1">IF(D7="","",IFERROR(AVERAGE(INDEX('Compile Sheet '!$E$4:$X$57,MATCH(TRIM(D7),TRIM('Compile Sheet '!$B$4:$B$57),0),MATCH($G$3,'Compile Sheet '!$E$1:$X$1,0)):INDEX('Compile Sheet '!$E$4:$X$57,MATCH(TRIM(D7),TRIM('Compile Sheet '!$B$4:$B$57),0),MATCH($G$2,'Compile Sheet '!$E$1:$X$1,0))),"No data"))</f>
        <v>9.1216666666666679</v>
      </c>
      <c r="D7" s="16" t="s">
        <v>81</v>
      </c>
    </row>
    <row r="8" spans="1:7">
      <c r="A8" s="37" t="s">
        <v>132</v>
      </c>
      <c r="B8" s="38" t="s">
        <v>123</v>
      </c>
      <c r="C8" s="2" cm="1">
        <f t="array" aca="1" ref="C8" ca="1">IF(D8="","",IFERROR(AVERAGE(INDEX('Compile Sheet '!$E$4:$X$57,MATCH(TRIM(D8),TRIM('Compile Sheet '!$B$4:$B$57),0),MATCH($G$3,'Compile Sheet '!$E$1:$X$1,0)):INDEX('Compile Sheet '!$E$4:$X$57,MATCH(TRIM(D8),TRIM('Compile Sheet '!$B$4:$B$57),0),MATCH($G$2,'Compile Sheet '!$E$1:$X$1,0))),"No data"))</f>
        <v>7.9050000000000002</v>
      </c>
      <c r="D8" s="16" t="s">
        <v>59</v>
      </c>
    </row>
    <row r="9" spans="1:7">
      <c r="A9" s="39"/>
      <c r="B9" s="39"/>
      <c r="C9" s="2" t="str" cm="1">
        <f t="array" ref="C9">IF(D9="","",IFERROR(AVERAGE(INDEX('Compile Sheet '!$E$4:$X$57,MATCH(TRIM(D9),TRIM('Compile Sheet '!$B$4:$B$57),0),MATCH($G$3,'Compile Sheet '!$E$1:$X$1,0)):INDEX('Compile Sheet '!$E$4:$X$57,MATCH(TRIM(D9),TRIM('Compile Sheet '!$B$4:$B$57),0),MATCH($G$2,'Compile Sheet '!$E$1:$X$1,0))),"No data"))</f>
        <v/>
      </c>
      <c r="D9" s="16"/>
    </row>
    <row r="10" spans="1:7">
      <c r="A10" s="40" t="s">
        <v>133</v>
      </c>
      <c r="B10" s="41"/>
      <c r="C10" s="2" cm="1">
        <f t="array" aca="1" ref="C10" ca="1">IF(D10="","",IFERROR(AVERAGE(INDEX('Compile Sheet '!$E$4:$X$57,MATCH(TRIM(D10),TRIM('Compile Sheet '!$B$4:$B$57),0),MATCH($G$3,'Compile Sheet '!$E$1:$X$1,0)):INDEX('Compile Sheet '!$E$4:$X$57,MATCH(TRIM(D10),TRIM('Compile Sheet '!$B$4:$B$57),0),MATCH($G$2,'Compile Sheet '!$E$1:$X$1,0))),"No data"))</f>
        <v>7.72</v>
      </c>
      <c r="D10" s="16" t="s">
        <v>46</v>
      </c>
    </row>
    <row r="11" spans="1:7">
      <c r="A11" s="41" t="s">
        <v>134</v>
      </c>
      <c r="B11" s="42" t="s">
        <v>135</v>
      </c>
      <c r="C11" s="2" cm="1">
        <f t="array" aca="1" ref="C11" ca="1">IF(D11="","",IFERROR(AVERAGE(INDEX('Compile Sheet '!$E$4:$X$57,MATCH(TRIM(D11),TRIM('Compile Sheet '!$B$4:$B$57),0),MATCH($G$3,'Compile Sheet '!$E$1:$X$1,0)):INDEX('Compile Sheet '!$E$4:$X$57,MATCH(TRIM(D11),TRIM('Compile Sheet '!$B$4:$B$57),0),MATCH($G$2,'Compile Sheet '!$E$1:$X$1,0))),"No data"))</f>
        <v>7.4216666666666669</v>
      </c>
      <c r="D11" s="16" t="s">
        <v>73</v>
      </c>
    </row>
    <row r="12" spans="1:7">
      <c r="A12" s="43" t="s">
        <v>136</v>
      </c>
      <c r="B12" s="32" t="s">
        <v>135</v>
      </c>
      <c r="C12" s="2" cm="1">
        <f t="array" aca="1" ref="C12" ca="1">IF(D12="","",IFERROR(AVERAGE(INDEX('Compile Sheet '!$E$4:$X$57,MATCH(TRIM(D12),TRIM('Compile Sheet '!$B$4:$B$57),0),MATCH($G$3,'Compile Sheet '!$E$1:$X$1,0)):INDEX('Compile Sheet '!$E$4:$X$57,MATCH(TRIM(D12),TRIM('Compile Sheet '!$B$4:$B$57),0),MATCH($G$2,'Compile Sheet '!$E$1:$X$1,0))),"No data"))</f>
        <v>8.4216666666666669</v>
      </c>
      <c r="D12" s="16" t="s">
        <v>74</v>
      </c>
    </row>
    <row r="13" spans="1:7">
      <c r="A13" s="43" t="s">
        <v>137</v>
      </c>
      <c r="B13" s="32" t="s">
        <v>135</v>
      </c>
      <c r="C13" s="2" cm="1">
        <f t="array" aca="1" ref="C13" ca="1">IF(D13="","",IFERROR(AVERAGE(INDEX('Compile Sheet '!$E$4:$X$57,MATCH(TRIM(D13),TRIM('Compile Sheet '!$B$4:$B$57),0),MATCH($G$3,'Compile Sheet '!$E$1:$X$1,0)):INDEX('Compile Sheet '!$E$4:$X$57,MATCH(TRIM(D13),TRIM('Compile Sheet '!$B$4:$B$57),0),MATCH($G$2,'Compile Sheet '!$E$1:$X$1,0))),"No data"))</f>
        <v>7.81</v>
      </c>
      <c r="D13" s="16" t="s">
        <v>92</v>
      </c>
    </row>
    <row r="14" spans="1:7">
      <c r="A14" s="43" t="s">
        <v>138</v>
      </c>
      <c r="B14" s="32" t="s">
        <v>135</v>
      </c>
      <c r="C14" s="2" cm="1">
        <f t="array" aca="1" ref="C14" ca="1">IF(D14="","",IFERROR(AVERAGE(INDEX('Compile Sheet '!$E$4:$X$57,MATCH(TRIM(D14),TRIM('Compile Sheet '!$B$4:$B$57),0),MATCH($G$3,'Compile Sheet '!$E$1:$X$1,0)):INDEX('Compile Sheet '!$E$4:$X$57,MATCH(TRIM(D14),TRIM('Compile Sheet '!$B$4:$B$57),0),MATCH($G$2,'Compile Sheet '!$E$1:$X$1,0))),"No data"))</f>
        <v>8.6666666666666661</v>
      </c>
      <c r="D14" s="16" t="s">
        <v>91</v>
      </c>
    </row>
    <row r="15" spans="1:7">
      <c r="A15" s="44" t="s">
        <v>139</v>
      </c>
      <c r="B15" s="45" t="s">
        <v>135</v>
      </c>
      <c r="C15" s="2" cm="1">
        <f t="array" aca="1" ref="C15" ca="1">IF(D15="","",IFERROR(AVERAGE(INDEX('Compile Sheet '!$E$4:$X$57,MATCH(TRIM(D15),TRIM('Compile Sheet '!$B$4:$B$57),0),MATCH($G$3,'Compile Sheet '!$E$1:$X$1,0)):INDEX('Compile Sheet '!$E$4:$X$57,MATCH(TRIM(D15),TRIM('Compile Sheet '!$B$4:$B$57),0),MATCH($G$2,'Compile Sheet '!$E$1:$X$1,0))),"No data"))</f>
        <v>7.9716666666666667</v>
      </c>
      <c r="D15" s="16" t="s">
        <v>82</v>
      </c>
    </row>
    <row r="16" spans="1:7">
      <c r="A16" s="39"/>
      <c r="B16" s="39"/>
      <c r="C16" s="2" t="str" cm="1">
        <f t="array" ref="C16">IF(D16="","",IFERROR(AVERAGE(INDEX('Compile Sheet '!$E$4:$X$57,MATCH(TRIM(D16),TRIM('Compile Sheet '!$B$4:$B$57),0),MATCH($G$3,'Compile Sheet '!$E$1:$X$1,0)):INDEX('Compile Sheet '!$E$4:$X$57,MATCH(TRIM(D16),TRIM('Compile Sheet '!$B$4:$B$57),0),MATCH($G$2,'Compile Sheet '!$E$1:$X$1,0))),"No data"))</f>
        <v/>
      </c>
      <c r="D16" s="16"/>
    </row>
    <row r="17" spans="1:4">
      <c r="A17" s="46" t="s">
        <v>140</v>
      </c>
      <c r="B17" s="32" t="s">
        <v>141</v>
      </c>
      <c r="C17" s="2" cm="1">
        <f t="array" aca="1" ref="C17" ca="1">IF(D17="","",IFERROR(AVERAGE(INDEX('Compile Sheet '!$E$4:$X$57,MATCH(TRIM(D17),TRIM('Compile Sheet '!$B$4:$B$57),0),MATCH($G$3,'Compile Sheet '!$E$1:$X$1,0)):INDEX('Compile Sheet '!$E$4:$X$57,MATCH(TRIM(D17),TRIM('Compile Sheet '!$B$4:$B$57),0),MATCH($G$2,'Compile Sheet '!$E$1:$X$1,0))),"No data"))</f>
        <v>7.0666666666666664</v>
      </c>
      <c r="D17" s="16" t="s">
        <v>50</v>
      </c>
    </row>
    <row r="18" spans="1:4">
      <c r="A18" s="35" t="s">
        <v>142</v>
      </c>
      <c r="B18" s="32" t="s">
        <v>141</v>
      </c>
      <c r="C18" s="2" cm="1">
        <f t="array" aca="1" ref="C18" ca="1">IF(D18="","",IFERROR(AVERAGE(INDEX('Compile Sheet '!$E$4:$X$57,MATCH(TRIM(D18),TRIM('Compile Sheet '!$B$4:$B$57),0),MATCH($G$3,'Compile Sheet '!$E$1:$X$1,0)):INDEX('Compile Sheet '!$E$4:$X$57,MATCH(TRIM(D18),TRIM('Compile Sheet '!$B$4:$B$57),0),MATCH($G$2,'Compile Sheet '!$E$1:$X$1,0))),"No data"))</f>
        <v>8.7449999999999992</v>
      </c>
      <c r="D18" s="16" t="s">
        <v>70</v>
      </c>
    </row>
    <row r="19" spans="1:4">
      <c r="A19" s="43" t="s">
        <v>143</v>
      </c>
      <c r="B19" s="32" t="s">
        <v>141</v>
      </c>
      <c r="C19" s="2" cm="1">
        <f t="array" aca="1" ref="C19" ca="1">IF(D19="","",IFERROR(AVERAGE(INDEX('Compile Sheet '!$E$4:$X$57,MATCH(TRIM(D19),TRIM('Compile Sheet '!$B$4:$B$57),0),MATCH($G$3,'Compile Sheet '!$E$1:$X$1,0)):INDEX('Compile Sheet '!$E$4:$X$57,MATCH(TRIM(D19),TRIM('Compile Sheet '!$B$4:$B$57),0),MATCH($G$2,'Compile Sheet '!$E$1:$X$1,0))),"No data"))</f>
        <v>7.8900000000000006</v>
      </c>
      <c r="D19" s="16" t="s">
        <v>88</v>
      </c>
    </row>
    <row r="20" spans="1:4">
      <c r="A20" s="43" t="s">
        <v>144</v>
      </c>
      <c r="B20" s="32" t="s">
        <v>141</v>
      </c>
      <c r="C20" s="2" cm="1">
        <f t="array" aca="1" ref="C20" ca="1">IF(D20="","",IFERROR(AVERAGE(INDEX('Compile Sheet '!$E$4:$X$57,MATCH(TRIM(D20),TRIM('Compile Sheet '!$B$4:$B$57),0),MATCH($G$3,'Compile Sheet '!$E$1:$X$1,0)):INDEX('Compile Sheet '!$E$4:$X$57,MATCH(TRIM(D20),TRIM('Compile Sheet '!$B$4:$B$57),0),MATCH($G$2,'Compile Sheet '!$E$1:$X$1,0))),"No data"))</f>
        <v>7.5566666666666675</v>
      </c>
      <c r="D20" s="16" t="s">
        <v>85</v>
      </c>
    </row>
    <row r="21" spans="1:4">
      <c r="A21" s="43" t="s">
        <v>145</v>
      </c>
      <c r="B21" s="32" t="s">
        <v>141</v>
      </c>
      <c r="C21" s="2" cm="1">
        <f t="array" aca="1" ref="C21" ca="1">IF(D21="","",IFERROR(AVERAGE(INDEX('Compile Sheet '!$E$4:$X$57,MATCH(TRIM(D21),TRIM('Compile Sheet '!$B$4:$B$57),0),MATCH($G$3,'Compile Sheet '!$E$1:$X$1,0)):INDEX('Compile Sheet '!$E$4:$X$57,MATCH(TRIM(D21),TRIM('Compile Sheet '!$B$4:$B$57),0),MATCH($G$2,'Compile Sheet '!$E$1:$X$1,0))),"No data"))</f>
        <v>8.15</v>
      </c>
      <c r="D21" s="16" t="s">
        <v>86</v>
      </c>
    </row>
    <row r="22" spans="1:4">
      <c r="A22" s="47" t="s">
        <v>146</v>
      </c>
      <c r="B22" s="48" t="s">
        <v>141</v>
      </c>
      <c r="C22" s="2" cm="1">
        <f t="array" aca="1" ref="C22" ca="1">IF(D22="","",IFERROR(AVERAGE(INDEX('Compile Sheet '!$E$4:$X$57,MATCH(TRIM(D22),TRIM('Compile Sheet '!$B$4:$B$57),0),MATCH($G$3,'Compile Sheet '!$E$1:$X$1,0)):INDEX('Compile Sheet '!$E$4:$X$57,MATCH(TRIM(D22),TRIM('Compile Sheet '!$B$4:$B$57),0),MATCH($G$2,'Compile Sheet '!$E$1:$X$1,0))),"No data"))</f>
        <v>8.6833333333333318</v>
      </c>
      <c r="D22" s="16" t="s">
        <v>84</v>
      </c>
    </row>
    <row r="23" spans="1:4">
      <c r="A23" s="49" t="s">
        <v>139</v>
      </c>
      <c r="B23" s="45" t="s">
        <v>141</v>
      </c>
      <c r="C23" s="2" cm="1">
        <f t="array" aca="1" ref="C23" ca="1">IF(D23="","",IFERROR(AVERAGE(INDEX('Compile Sheet '!$E$4:$X$57,MATCH(TRIM(D23),TRIM('Compile Sheet '!$B$4:$B$57),0),MATCH($G$3,'Compile Sheet '!$E$1:$X$1,0)):INDEX('Compile Sheet '!$E$4:$X$57,MATCH(TRIM(D23),TRIM('Compile Sheet '!$B$4:$B$57),0),MATCH($G$2,'Compile Sheet '!$E$1:$X$1,0))),"No data"))</f>
        <v>7.9716666666666667</v>
      </c>
      <c r="D23" s="16" t="s">
        <v>82</v>
      </c>
    </row>
    <row r="24" spans="1:4">
      <c r="A24" s="39"/>
      <c r="B24" s="39"/>
      <c r="C24" s="2" t="str" cm="1">
        <f t="array" ref="C24">IF(D24="","",IFERROR(AVERAGE(INDEX('Compile Sheet '!$E$4:$X$57,MATCH(TRIM(D24),TRIM('Compile Sheet '!$B$4:$B$57),0),MATCH($G$3,'Compile Sheet '!$E$1:$X$1,0)):INDEX('Compile Sheet '!$E$4:$X$57,MATCH(TRIM(D24),TRIM('Compile Sheet '!$B$4:$B$57),0),MATCH($G$2,'Compile Sheet '!$E$1:$X$1,0))),"No data"))</f>
        <v/>
      </c>
      <c r="D24" s="16"/>
    </row>
    <row r="25" spans="1:4">
      <c r="A25" s="46" t="s">
        <v>147</v>
      </c>
      <c r="B25" s="32" t="s">
        <v>45</v>
      </c>
      <c r="C25" s="2" cm="1">
        <f t="array" aca="1" ref="C25" ca="1">IF(D25="","",IFERROR(AVERAGE(INDEX('Compile Sheet '!$E$4:$X$57,MATCH(TRIM(D25),TRIM('Compile Sheet '!$B$4:$B$57),0),MATCH($G$3,'Compile Sheet '!$E$1:$X$1,0)):INDEX('Compile Sheet '!$E$4:$X$57,MATCH(TRIM(D25),TRIM('Compile Sheet '!$B$4:$B$57),0),MATCH($G$2,'Compile Sheet '!$E$1:$X$1,0))),"No data"))</f>
        <v>7.7633333333333328</v>
      </c>
      <c r="D25" s="16" t="s">
        <v>44</v>
      </c>
    </row>
    <row r="26" spans="1:4">
      <c r="A26" s="43" t="s">
        <v>148</v>
      </c>
      <c r="B26" s="32" t="s">
        <v>45</v>
      </c>
      <c r="C26" s="2" cm="1">
        <f t="array" aca="1" ref="C26" ca="1">IF(D26="","",IFERROR(AVERAGE(INDEX('Compile Sheet '!$E$4:$X$57,MATCH(TRIM(D26),TRIM('Compile Sheet '!$B$4:$B$57),0),MATCH($G$3,'Compile Sheet '!$E$1:$X$1,0)):INDEX('Compile Sheet '!$E$4:$X$57,MATCH(TRIM(D26),TRIM('Compile Sheet '!$B$4:$B$57),0),MATCH($G$2,'Compile Sheet '!$E$1:$X$1,0))),"No data"))</f>
        <v>8.64</v>
      </c>
      <c r="D26" s="16" t="s">
        <v>58</v>
      </c>
    </row>
    <row r="27" spans="1:4">
      <c r="A27" s="43" t="s">
        <v>149</v>
      </c>
      <c r="B27" s="32" t="s">
        <v>45</v>
      </c>
      <c r="C27" s="2" cm="1">
        <f t="array" aca="1" ref="C27" ca="1">IF(D27="","",IFERROR(AVERAGE(INDEX('Compile Sheet '!$E$4:$X$57,MATCH(TRIM(D27),TRIM('Compile Sheet '!$B$4:$B$57),0),MATCH($G$3,'Compile Sheet '!$E$1:$X$1,0)):INDEX('Compile Sheet '!$E$4:$X$57,MATCH(TRIM(D27),TRIM('Compile Sheet '!$B$4:$B$57),0),MATCH($G$2,'Compile Sheet '!$E$1:$X$1,0))),"No data"))</f>
        <v>9.1616666666666671</v>
      </c>
      <c r="D27" s="16" t="s">
        <v>67</v>
      </c>
    </row>
    <row r="28" spans="1:4">
      <c r="A28" s="43" t="s">
        <v>150</v>
      </c>
      <c r="B28" s="32" t="s">
        <v>45</v>
      </c>
      <c r="C28" s="2" cm="1">
        <f t="array" aca="1" ref="C28" ca="1">IF(D28="","",IFERROR(AVERAGE(INDEX('Compile Sheet '!$E$4:$X$57,MATCH(TRIM(D28),TRIM('Compile Sheet '!$B$4:$B$57),0),MATCH($G$3,'Compile Sheet '!$E$1:$X$1,0)):INDEX('Compile Sheet '!$E$4:$X$57,MATCH(TRIM(D28),TRIM('Compile Sheet '!$B$4:$B$57),0),MATCH($G$2,'Compile Sheet '!$E$1:$X$1,0))),"No data"))</f>
        <v>7.8983333333333334</v>
      </c>
      <c r="D28" s="16" t="s">
        <v>72</v>
      </c>
    </row>
    <row r="29" spans="1:4">
      <c r="A29" s="43" t="s">
        <v>151</v>
      </c>
      <c r="B29" s="32" t="s">
        <v>45</v>
      </c>
      <c r="C29" s="2" cm="1">
        <f t="array" aca="1" ref="C29" ca="1">IF(D29="","",IFERROR(AVERAGE(INDEX('Compile Sheet '!$E$4:$X$57,MATCH(TRIM(D29),TRIM('Compile Sheet '!$B$4:$B$57),0),MATCH($G$3,'Compile Sheet '!$E$1:$X$1,0)):INDEX('Compile Sheet '!$E$4:$X$57,MATCH(TRIM(D29),TRIM('Compile Sheet '!$B$4:$B$57),0),MATCH($G$2,'Compile Sheet '!$E$1:$X$1,0))),"No data"))</f>
        <v>8.3633333333333351</v>
      </c>
      <c r="D29" s="16" t="s">
        <v>64</v>
      </c>
    </row>
    <row r="30" spans="1:4">
      <c r="A30" s="49" t="s">
        <v>131</v>
      </c>
      <c r="B30" s="50" t="s">
        <v>45</v>
      </c>
      <c r="C30" s="2" cm="1">
        <f t="array" aca="1" ref="C30" ca="1">IF(D30="","",IFERROR(AVERAGE(INDEX('Compile Sheet '!$E$4:$X$57,MATCH(TRIM(D30),TRIM('Compile Sheet '!$B$4:$B$57),0),MATCH($G$3,'Compile Sheet '!$E$1:$X$1,0)):INDEX('Compile Sheet '!$E$4:$X$57,MATCH(TRIM(D30),TRIM('Compile Sheet '!$B$4:$B$57),0),MATCH($G$2,'Compile Sheet '!$E$1:$X$1,0))),"No data"))</f>
        <v>9.1216666666666679</v>
      </c>
      <c r="D30" s="16" t="s">
        <v>81</v>
      </c>
    </row>
    <row r="31" spans="1:4">
      <c r="A31" s="39"/>
      <c r="B31" s="39"/>
      <c r="C31" s="2" t="str" cm="1">
        <f t="array" ref="C31">IF(D31="","",IFERROR(AVERAGE(INDEX('Compile Sheet '!$E$4:$X$57,MATCH(TRIM(D31),TRIM('Compile Sheet '!$B$4:$B$57),0),MATCH($G$3,'Compile Sheet '!$E$1:$X$1,0)):INDEX('Compile Sheet '!$E$4:$X$57,MATCH(TRIM(D31),TRIM('Compile Sheet '!$B$4:$B$57),0),MATCH($G$2,'Compile Sheet '!$E$1:$X$1,0))),"No data"))</f>
        <v/>
      </c>
      <c r="D31" s="16"/>
    </row>
    <row r="32" spans="1:4">
      <c r="A32" s="43" t="s">
        <v>152</v>
      </c>
      <c r="B32" s="32" t="s">
        <v>153</v>
      </c>
      <c r="C32" s="2" cm="1">
        <f t="array" aca="1" ref="C32" ca="1">IF(D32="","",IFERROR(AVERAGE(INDEX('Compile Sheet '!$E$4:$X$57,MATCH(TRIM(D32),TRIM('Compile Sheet '!$B$4:$B$57),0),MATCH($G$3,'Compile Sheet '!$E$1:$X$1,0)):INDEX('Compile Sheet '!$E$4:$X$57,MATCH(TRIM(D32),TRIM('Compile Sheet '!$B$4:$B$57),0),MATCH($G$2,'Compile Sheet '!$E$1:$X$1,0))),"No data"))</f>
        <v>8.4999999999999982</v>
      </c>
      <c r="D32" s="16" t="s">
        <v>55</v>
      </c>
    </row>
    <row r="33" spans="1:4">
      <c r="A33" s="43" t="s">
        <v>125</v>
      </c>
      <c r="B33" s="32" t="s">
        <v>153</v>
      </c>
      <c r="C33" s="2" cm="1">
        <f t="array" aca="1" ref="C33" ca="1">IF(D33="","",IFERROR(AVERAGE(INDEX('Compile Sheet '!$E$4:$X$57,MATCH(TRIM(D33),TRIM('Compile Sheet '!$B$4:$B$57),0),MATCH($G$3,'Compile Sheet '!$E$1:$X$1,0)):INDEX('Compile Sheet '!$E$4:$X$57,MATCH(TRIM(D33),TRIM('Compile Sheet '!$B$4:$B$57),0),MATCH($G$2,'Compile Sheet '!$E$1:$X$1,0))),"No data"))</f>
        <v>8.7833333333333332</v>
      </c>
      <c r="D33" s="16" t="s">
        <v>53</v>
      </c>
    </row>
    <row r="34" spans="1:4">
      <c r="A34" s="43" t="s">
        <v>154</v>
      </c>
      <c r="B34" s="32" t="s">
        <v>153</v>
      </c>
      <c r="C34" s="2" cm="1">
        <f t="array" aca="1" ref="C34" ca="1">IF(D34="","",IFERROR(AVERAGE(INDEX('Compile Sheet '!$E$4:$X$57,MATCH(TRIM(D34),TRIM('Compile Sheet '!$B$4:$B$57),0),MATCH($G$3,'Compile Sheet '!$E$1:$X$1,0)):INDEX('Compile Sheet '!$E$4:$X$57,MATCH(TRIM(D34),TRIM('Compile Sheet '!$B$4:$B$57),0),MATCH($G$2,'Compile Sheet '!$E$1:$X$1,0))),"No data"))</f>
        <v>8.6883333333333326</v>
      </c>
      <c r="D34" s="16" t="s">
        <v>65</v>
      </c>
    </row>
    <row r="35" spans="1:4">
      <c r="A35" s="43" t="s">
        <v>155</v>
      </c>
      <c r="B35" s="32" t="s">
        <v>153</v>
      </c>
      <c r="C35" s="2" cm="1">
        <f t="array" aca="1" ref="C35" ca="1">IF(D35="","",IFERROR(AVERAGE(INDEX('Compile Sheet '!$E$4:$X$57,MATCH(TRIM(D35),TRIM('Compile Sheet '!$B$4:$B$57),0),MATCH($G$3,'Compile Sheet '!$E$1:$X$1,0)):INDEX('Compile Sheet '!$E$4:$X$57,MATCH(TRIM(D35),TRIM('Compile Sheet '!$B$4:$B$57),0),MATCH($G$2,'Compile Sheet '!$E$1:$X$1,0))),"No data"))</f>
        <v>9.1</v>
      </c>
      <c r="D35" s="16" t="s">
        <v>69</v>
      </c>
    </row>
    <row r="36" spans="1:4">
      <c r="A36" s="43" t="s">
        <v>142</v>
      </c>
      <c r="B36" s="32" t="s">
        <v>153</v>
      </c>
      <c r="C36" s="2" cm="1">
        <f t="array" aca="1" ref="C36" ca="1">IF(D36="","",IFERROR(AVERAGE(INDEX('Compile Sheet '!$E$4:$X$57,MATCH(TRIM(D36),TRIM('Compile Sheet '!$B$4:$B$57),0),MATCH($G$3,'Compile Sheet '!$E$1:$X$1,0)):INDEX('Compile Sheet '!$E$4:$X$57,MATCH(TRIM(D36),TRIM('Compile Sheet '!$B$4:$B$57),0),MATCH($G$2,'Compile Sheet '!$E$1:$X$1,0))),"No data"))</f>
        <v>8.7449999999999992</v>
      </c>
      <c r="D36" s="16" t="s">
        <v>70</v>
      </c>
    </row>
    <row r="37" spans="1:4">
      <c r="A37" s="43" t="s">
        <v>156</v>
      </c>
      <c r="B37" s="32" t="s">
        <v>153</v>
      </c>
      <c r="C37" s="2" cm="1">
        <f t="array" aca="1" ref="C37" ca="1">IF(D37="","",IFERROR(AVERAGE(INDEX('Compile Sheet '!$E$4:$X$57,MATCH(TRIM(D37),TRIM('Compile Sheet '!$B$4:$B$57),0),MATCH($G$3,'Compile Sheet '!$E$1:$X$1,0)):INDEX('Compile Sheet '!$E$4:$X$57,MATCH(TRIM(D37),TRIM('Compile Sheet '!$B$4:$B$57),0),MATCH($G$2,'Compile Sheet '!$E$1:$X$1,0))),"No data"))</f>
        <v>8.6683333333333348</v>
      </c>
      <c r="D37" s="16" t="s">
        <v>80</v>
      </c>
    </row>
    <row r="38" spans="1:4">
      <c r="A38" s="39"/>
      <c r="B38" s="39"/>
      <c r="C38" s="2" t="str" cm="1">
        <f t="array" ref="C38">IF(D38="","",IFERROR(AVERAGE(INDEX('Compile Sheet '!$E$4:$X$57,MATCH(TRIM(D38),TRIM('Compile Sheet '!$B$4:$B$57),0),MATCH($G$3,'Compile Sheet '!$E$1:$X$1,0)):INDEX('Compile Sheet '!$E$4:$X$57,MATCH(TRIM(D38),TRIM('Compile Sheet '!$B$4:$B$57),0),MATCH($G$2,'Compile Sheet '!$E$1:$X$1,0))),"No data"))</f>
        <v/>
      </c>
      <c r="D38" s="16"/>
    </row>
    <row r="39" spans="1:4">
      <c r="A39" s="46" t="s">
        <v>157</v>
      </c>
      <c r="B39" s="32" t="s">
        <v>158</v>
      </c>
      <c r="C39" s="2" cm="1">
        <f t="array" aca="1" ref="C39" ca="1">IF(D39="","",IFERROR(AVERAGE(INDEX('Compile Sheet '!$E$4:$X$57,MATCH(TRIM(D39),TRIM('Compile Sheet '!$B$4:$B$57),0),MATCH($G$3,'Compile Sheet '!$E$1:$X$1,0)):INDEX('Compile Sheet '!$E$4:$X$57,MATCH(TRIM(D39),TRIM('Compile Sheet '!$B$4:$B$57),0),MATCH($G$2,'Compile Sheet '!$E$1:$X$1,0))),"No data"))</f>
        <v>8.4683333333333337</v>
      </c>
      <c r="D39" s="16" t="s">
        <v>37</v>
      </c>
    </row>
    <row r="40" spans="1:4">
      <c r="A40" s="43" t="s">
        <v>159</v>
      </c>
      <c r="B40" s="32" t="s">
        <v>158</v>
      </c>
      <c r="C40" s="2" cm="1">
        <f t="array" aca="1" ref="C40" ca="1">IF(D40="","",IFERROR(AVERAGE(INDEX('Compile Sheet '!$E$4:$X$57,MATCH(TRIM(D40),TRIM('Compile Sheet '!$B$4:$B$57),0),MATCH($G$3,'Compile Sheet '!$E$1:$X$1,0)):INDEX('Compile Sheet '!$E$4:$X$57,MATCH(TRIM(D40),TRIM('Compile Sheet '!$B$4:$B$57),0),MATCH($G$2,'Compile Sheet '!$E$1:$X$1,0))),"No data"))</f>
        <v>9.0750000000000011</v>
      </c>
      <c r="D40" s="16" t="s">
        <v>56</v>
      </c>
    </row>
    <row r="41" spans="1:4">
      <c r="A41" s="43" t="s">
        <v>160</v>
      </c>
      <c r="B41" s="32" t="s">
        <v>158</v>
      </c>
      <c r="C41" s="2" cm="1">
        <f t="array" aca="1" ref="C41" ca="1">IF(D41="","",IFERROR(AVERAGE(INDEX('Compile Sheet '!$E$4:$X$57,MATCH(TRIM(D41),TRIM('Compile Sheet '!$B$4:$B$57),0),MATCH($G$3,'Compile Sheet '!$E$1:$X$1,0)):INDEX('Compile Sheet '!$E$4:$X$57,MATCH(TRIM(D41),TRIM('Compile Sheet '!$B$4:$B$57),0),MATCH($G$2,'Compile Sheet '!$E$1:$X$1,0))),"No data"))</f>
        <v>8.4883333333333333</v>
      </c>
      <c r="D41" s="16" t="s">
        <v>66</v>
      </c>
    </row>
    <row r="42" spans="1:4">
      <c r="A42" s="43" t="s">
        <v>161</v>
      </c>
      <c r="B42" s="32" t="s">
        <v>158</v>
      </c>
      <c r="C42" s="2" cm="1">
        <f t="array" aca="1" ref="C42" ca="1">IF(D42="","",IFERROR(AVERAGE(INDEX('Compile Sheet '!$E$4:$X$57,MATCH(TRIM(D42),TRIM('Compile Sheet '!$B$4:$B$57),0),MATCH($G$3,'Compile Sheet '!$E$1:$X$1,0)):INDEX('Compile Sheet '!$E$4:$X$57,MATCH(TRIM(D42),TRIM('Compile Sheet '!$B$4:$B$57),0),MATCH($G$2,'Compile Sheet '!$E$1:$X$1,0))),"No data"))</f>
        <v>8.6633333333333322</v>
      </c>
      <c r="D42" s="16" t="s">
        <v>62</v>
      </c>
    </row>
    <row r="43" spans="1:4">
      <c r="A43" s="43" t="s">
        <v>162</v>
      </c>
      <c r="B43" s="32" t="s">
        <v>158</v>
      </c>
      <c r="C43" s="2" cm="1">
        <f t="array" aca="1" ref="C43" ca="1">IF(D43="","",IFERROR(AVERAGE(INDEX('Compile Sheet '!$E$4:$X$57,MATCH(TRIM(D43),TRIM('Compile Sheet '!$B$4:$B$57),0),MATCH($G$3,'Compile Sheet '!$E$1:$X$1,0)):INDEX('Compile Sheet '!$E$4:$X$57,MATCH(TRIM(D43),TRIM('Compile Sheet '!$B$4:$B$57),0),MATCH($G$2,'Compile Sheet '!$E$1:$X$1,0))),"No data"))</f>
        <v>8.2266666666666666</v>
      </c>
      <c r="D43" s="16" t="s">
        <v>163</v>
      </c>
    </row>
    <row r="44" spans="1:4">
      <c r="A44" s="47" t="s">
        <v>164</v>
      </c>
      <c r="B44" s="32" t="s">
        <v>158</v>
      </c>
      <c r="C44" s="2" cm="1">
        <f t="array" aca="1" ref="C44" ca="1">IF(D44="","",IFERROR(AVERAGE(INDEX('Compile Sheet '!$E$4:$X$57,MATCH(TRIM(D44),TRIM('Compile Sheet '!$B$4:$B$57),0),MATCH($G$3,'Compile Sheet '!$E$1:$X$1,0)):INDEX('Compile Sheet '!$E$4:$X$57,MATCH(TRIM(D44),TRIM('Compile Sheet '!$B$4:$B$57),0),MATCH($G$2,'Compile Sheet '!$E$1:$X$1,0))),"No data"))</f>
        <v>8.84</v>
      </c>
      <c r="D44" s="16" t="s">
        <v>83</v>
      </c>
    </row>
    <row r="45" spans="1:4">
      <c r="A45" s="39"/>
      <c r="B45" s="39"/>
      <c r="C45" s="2" t="str" cm="1">
        <f t="array" ref="C45">IF(D45="","",IFERROR(AVERAGE(INDEX('Compile Sheet '!$E$4:$X$57,MATCH(TRIM(D45),TRIM('Compile Sheet '!$B$4:$B$57),0),MATCH($G$3,'Compile Sheet '!$E$1:$X$1,0)):INDEX('Compile Sheet '!$E$4:$X$57,MATCH(TRIM(D45),TRIM('Compile Sheet '!$B$4:$B$57),0),MATCH($G$2,'Compile Sheet '!$E$1:$X$1,0))),"No data"))</f>
        <v/>
      </c>
      <c r="D45" s="16"/>
    </row>
    <row r="46" spans="1:4">
      <c r="A46" s="43" t="s">
        <v>165</v>
      </c>
      <c r="B46" s="32" t="s">
        <v>166</v>
      </c>
      <c r="C46" s="2" cm="1">
        <f t="array" aca="1" ref="C46" ca="1">IF(D46="","",IFERROR(AVERAGE(INDEX('Compile Sheet '!$E$4:$X$57,MATCH(TRIM(D46),TRIM('Compile Sheet '!$B$4:$B$57),0),MATCH($G$3,'Compile Sheet '!$E$1:$X$1,0)):INDEX('Compile Sheet '!$E$4:$X$57,MATCH(TRIM(D46),TRIM('Compile Sheet '!$B$4:$B$57),0),MATCH($G$2,'Compile Sheet '!$E$1:$X$1,0))),"No data"))</f>
        <v>9.2233333333333345</v>
      </c>
      <c r="D46" s="16" t="s">
        <v>60</v>
      </c>
    </row>
    <row r="47" spans="1:4">
      <c r="A47" s="43" t="s">
        <v>167</v>
      </c>
      <c r="B47" s="32" t="s">
        <v>166</v>
      </c>
      <c r="C47" s="2" cm="1">
        <f t="array" aca="1" ref="C47" ca="1">IF(D47="","",IFERROR(AVERAGE(INDEX('Compile Sheet '!$E$4:$X$57,MATCH(TRIM(D47),TRIM('Compile Sheet '!$B$4:$B$57),0),MATCH($G$3,'Compile Sheet '!$E$1:$X$1,0)):INDEX('Compile Sheet '!$E$4:$X$57,MATCH(TRIM(D47),TRIM('Compile Sheet '!$B$4:$B$57),0),MATCH($G$2,'Compile Sheet '!$E$1:$X$1,0))),"No data"))</f>
        <v>8.9533333333333331</v>
      </c>
      <c r="D47" s="16" t="s">
        <v>68</v>
      </c>
    </row>
    <row r="48" spans="1:4">
      <c r="A48" s="39"/>
      <c r="B48" s="39"/>
      <c r="C48" s="2" t="str" cm="1">
        <f t="array" ref="C48">IF(D48="","",IFERROR(AVERAGE(INDEX('Compile Sheet '!$E$4:$X$57,MATCH(TRIM(D48),TRIM('Compile Sheet '!$B$4:$B$57),0),MATCH($G$3,'Compile Sheet '!$E$1:$X$1,0)):INDEX('Compile Sheet '!$E$4:$X$57,MATCH(TRIM(D48),TRIM('Compile Sheet '!$B$4:$B$57),0),MATCH($G$2,'Compile Sheet '!$E$1:$X$1,0))),"No data"))</f>
        <v/>
      </c>
      <c r="D48" s="16"/>
    </row>
    <row r="49" spans="1:4">
      <c r="A49" s="46" t="s">
        <v>168</v>
      </c>
      <c r="B49" s="51" t="s">
        <v>42</v>
      </c>
      <c r="C49" s="2" cm="1">
        <f t="array" aca="1" ref="C49" ca="1">IF(D49="","",IFERROR(AVERAGE(INDEX('Compile Sheet '!$E$4:$X$57,MATCH(TRIM(D49),TRIM('Compile Sheet '!$B$4:$B$57),0),MATCH($G$3,'Compile Sheet '!$E$1:$X$1,0)):INDEX('Compile Sheet '!$E$4:$X$57,MATCH(TRIM(D49),TRIM('Compile Sheet '!$B$4:$B$57),0),MATCH($G$2,'Compile Sheet '!$E$1:$X$1,0))),"No data"))</f>
        <v>9.5216666666666683</v>
      </c>
      <c r="D49" s="16" t="s">
        <v>41</v>
      </c>
    </row>
    <row r="50" spans="1:4">
      <c r="A50" s="43" t="s">
        <v>169</v>
      </c>
      <c r="B50" s="51" t="s">
        <v>42</v>
      </c>
      <c r="C50" s="2" cm="1">
        <f t="array" aca="1" ref="C50" ca="1">IF(D50="","",IFERROR(AVERAGE(INDEX('Compile Sheet '!$E$4:$X$57,MATCH(TRIM(D50),TRIM('Compile Sheet '!$B$4:$B$57),0),MATCH($G$3,'Compile Sheet '!$E$1:$X$1,0)):INDEX('Compile Sheet '!$E$4:$X$57,MATCH(TRIM(D50),TRIM('Compile Sheet '!$B$4:$B$57),0),MATCH($G$2,'Compile Sheet '!$E$1:$X$1,0))),"No data"))</f>
        <v>9.1116666666666664</v>
      </c>
      <c r="D50" s="16" t="s">
        <v>57</v>
      </c>
    </row>
    <row r="51" spans="1:4">
      <c r="A51" s="43" t="s">
        <v>170</v>
      </c>
      <c r="B51" s="51" t="s">
        <v>42</v>
      </c>
      <c r="C51" s="2" cm="1">
        <f t="array" aca="1" ref="C51" ca="1">IF(D51="","",IFERROR(AVERAGE(INDEX('Compile Sheet '!$E$4:$X$57,MATCH(TRIM(D51),TRIM('Compile Sheet '!$B$4:$B$57),0),MATCH($G$3,'Compile Sheet '!$E$1:$X$1,0)):INDEX('Compile Sheet '!$E$4:$X$57,MATCH(TRIM(D51),TRIM('Compile Sheet '!$B$4:$B$57),0),MATCH($G$2,'Compile Sheet '!$E$1:$X$1,0))),"No data"))</f>
        <v>9.8000000000000007</v>
      </c>
      <c r="D51" s="16" t="s">
        <v>63</v>
      </c>
    </row>
    <row r="52" spans="1:4">
      <c r="A52" s="43" t="s">
        <v>171</v>
      </c>
      <c r="B52" s="51" t="s">
        <v>42</v>
      </c>
      <c r="C52" s="2" cm="1">
        <f t="array" aca="1" ref="C52" ca="1">IF(D52="","",IFERROR(AVERAGE(INDEX('Compile Sheet '!$E$4:$X$57,MATCH(TRIM(D52),TRIM('Compile Sheet '!$B$4:$B$57),0),MATCH($G$3,'Compile Sheet '!$E$1:$X$1,0)):INDEX('Compile Sheet '!$E$4:$X$57,MATCH(TRIM(D52),TRIM('Compile Sheet '!$B$4:$B$57),0),MATCH($G$2,'Compile Sheet '!$E$1:$X$1,0))),"No data"))</f>
        <v>9</v>
      </c>
      <c r="D52" s="16" t="s">
        <v>78</v>
      </c>
    </row>
    <row r="53" spans="1:4">
      <c r="A53" s="43" t="s">
        <v>172</v>
      </c>
      <c r="B53" s="51" t="s">
        <v>42</v>
      </c>
      <c r="C53" s="2" cm="1">
        <f t="array" aca="1" ref="C53" ca="1">IF(D53="","",IFERROR(AVERAGE(INDEX('Compile Sheet '!$E$4:$X$57,MATCH(TRIM(D53),TRIM('Compile Sheet '!$B$4:$B$57),0),MATCH($G$3,'Compile Sheet '!$E$1:$X$1,0)):INDEX('Compile Sheet '!$E$4:$X$57,MATCH(TRIM(D53),TRIM('Compile Sheet '!$B$4:$B$57),0),MATCH($G$2,'Compile Sheet '!$E$1:$X$1,0))),"No data"))</f>
        <v>9.2999999999999989</v>
      </c>
      <c r="D53" s="16" t="s">
        <v>90</v>
      </c>
    </row>
    <row r="54" spans="1:4">
      <c r="A54" s="39"/>
      <c r="B54" s="39"/>
      <c r="C54" s="2" t="str" cm="1">
        <f t="array" ref="C54">IF(D54="","",IFERROR(AVERAGE(INDEX('Compile Sheet '!$E$4:$X$57,MATCH(TRIM(D54),TRIM('Compile Sheet '!$B$4:$B$57),0),MATCH($G$3,'Compile Sheet '!$E$1:$X$1,0)):INDEX('Compile Sheet '!$E$4:$X$57,MATCH(TRIM(D54),TRIM('Compile Sheet '!$B$4:$B$57),0),MATCH($G$2,'Compile Sheet '!$E$1:$X$1,0))),"No data"))</f>
        <v/>
      </c>
      <c r="D54" s="16"/>
    </row>
    <row r="55" spans="1:4">
      <c r="A55" s="52" t="s">
        <v>75</v>
      </c>
      <c r="B55" s="51" t="s">
        <v>173</v>
      </c>
      <c r="C55" s="2" cm="1">
        <f t="array" aca="1" ref="C55" ca="1">IF(D55="","",IFERROR(AVERAGE(INDEX('Compile Sheet '!$E$4:$X$57,MATCH(TRIM(D55),TRIM('Compile Sheet '!$B$4:$B$57),0),MATCH($G$3,'Compile Sheet '!$E$1:$X$1,0)):INDEX('Compile Sheet '!$E$4:$X$57,MATCH(TRIM(D55),TRIM('Compile Sheet '!$B$4:$B$57),0),MATCH($G$2,'Compile Sheet '!$E$1:$X$1,0))),"No data"))</f>
        <v>7.9849999999999994</v>
      </c>
      <c r="D55" s="16" t="s">
        <v>75</v>
      </c>
    </row>
    <row r="56" spans="1:4">
      <c r="A56" s="52" t="s">
        <v>77</v>
      </c>
      <c r="B56" s="51" t="s">
        <v>173</v>
      </c>
      <c r="C56" s="2" cm="1">
        <f t="array" aca="1" ref="C56" ca="1">IF(D56="","",IFERROR(AVERAGE(INDEX('Compile Sheet '!$E$4:$X$57,MATCH(TRIM(D56),TRIM('Compile Sheet '!$B$4:$B$57),0),MATCH($G$3,'Compile Sheet '!$E$1:$X$1,0)):INDEX('Compile Sheet '!$E$4:$X$57,MATCH(TRIM(D56),TRIM('Compile Sheet '!$B$4:$B$57),0),MATCH($G$2,'Compile Sheet '!$E$1:$X$1,0))),"No data"))</f>
        <v>7.6866666666666674</v>
      </c>
      <c r="D56" s="16" t="s">
        <v>77</v>
      </c>
    </row>
    <row r="57" spans="1:4">
      <c r="A57" s="52" t="s">
        <v>95</v>
      </c>
      <c r="B57" s="51" t="s">
        <v>173</v>
      </c>
      <c r="C57" s="2" cm="1">
        <f t="array" aca="1" ref="C57" ca="1">IF(D57="","",IFERROR(AVERAGE(INDEX('Compile Sheet '!$E$4:$X$57,MATCH(TRIM(D57),TRIM('Compile Sheet '!$B$4:$B$57),0),MATCH($G$3,'Compile Sheet '!$E$1:$X$1,0)):INDEX('Compile Sheet '!$E$4:$X$57,MATCH(TRIM(D57),TRIM('Compile Sheet '!$B$4:$B$57),0),MATCH($G$2,'Compile Sheet '!$E$1:$X$1,0))),"No data"))</f>
        <v>10</v>
      </c>
      <c r="D57" s="1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2026-07-10T08:25:54Z</dcterms:created>
  <dcterms:modified xsi:type="dcterms:W3CDTF">2026-10-15T11:16:45Z</dcterms:modified>
  <cp:category/>
  <cp:contentStatus/>
</cp:coreProperties>
</file>